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J:\CAPFITOGEN\CAPFITOGEN3\V3_Script_02_06_2020\CAPFITOGEN3\ModelOptions\"/>
    </mc:Choice>
  </mc:AlternateContent>
  <xr:revisionPtr revIDLastSave="0" documentId="13_ncr:1_{6FDE6144-5F22-4950-86EE-AD203526711A}" xr6:coauthVersionLast="45" xr6:coauthVersionMax="45" xr10:uidLastSave="{00000000-0000-0000-0000-000000000000}"/>
  <bookViews>
    <workbookView xWindow="-108" yWindow="-108" windowWidth="23256" windowHeight="12576" xr2:uid="{00000000-000D-0000-FFFF-FFFF00000000}"/>
  </bookViews>
  <sheets>
    <sheet name="ParameterTable" sheetId="1" r:id="rId1"/>
    <sheet name="Variables_Codes" sheetId="3" r:id="rId2"/>
    <sheet name="Hoja1" sheetId="2" r:id="rId3"/>
    <sheet name="Hoja4" sheetId="5" state="hidden" r:id="rId4"/>
  </sheets>
  <definedNames>
    <definedName name="_xlnm._FilterDatabase" localSheetId="0" hidden="1">ParameterTable!$A$1:$D$130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 i="1" l="1"/>
  <c r="C6" i="1"/>
  <c r="C105" i="1" l="1"/>
  <c r="C50" i="1" l="1"/>
  <c r="C49" i="1"/>
  <c r="C48" i="1"/>
  <c r="C47" i="1"/>
  <c r="C38" i="1"/>
  <c r="C9" i="1" l="1"/>
  <c r="C10" i="1"/>
  <c r="C128" i="1" l="1"/>
  <c r="C124" i="1"/>
  <c r="C127" i="1"/>
  <c r="C126" i="1"/>
  <c r="C125" i="1"/>
  <c r="C123" i="1"/>
  <c r="C122" i="1"/>
  <c r="C121" i="1"/>
  <c r="C120" i="1"/>
  <c r="C119" i="1"/>
  <c r="C117" i="1"/>
  <c r="C118" i="1"/>
  <c r="C116" i="1"/>
  <c r="C113" i="1"/>
  <c r="C115" i="1"/>
  <c r="C114" i="1"/>
  <c r="C112" i="1"/>
  <c r="C111" i="1"/>
  <c r="C130" i="1"/>
  <c r="C129" i="1"/>
  <c r="C3" i="1"/>
  <c r="C110" i="1"/>
  <c r="C108" i="1"/>
  <c r="C109" i="1"/>
  <c r="C106" i="1"/>
  <c r="C102" i="1"/>
  <c r="C104" i="1"/>
  <c r="C107" i="1"/>
  <c r="C103" i="1"/>
  <c r="C101" i="1"/>
  <c r="C100" i="1"/>
  <c r="C99" i="1"/>
  <c r="C90" i="1"/>
  <c r="C98" i="1"/>
  <c r="C97" i="1"/>
  <c r="C96" i="1"/>
  <c r="C95" i="1"/>
  <c r="C94" i="1"/>
  <c r="C93" i="1"/>
  <c r="C92" i="1"/>
  <c r="C91" i="1"/>
  <c r="C58" i="1"/>
  <c r="C89" i="1"/>
  <c r="C88" i="1"/>
  <c r="C87" i="1"/>
  <c r="C86" i="1"/>
  <c r="C85" i="1"/>
  <c r="C84" i="1"/>
  <c r="C83" i="1"/>
  <c r="C82" i="1"/>
  <c r="C81" i="1"/>
  <c r="C80" i="1"/>
  <c r="C79" i="1"/>
  <c r="C78" i="1"/>
  <c r="C77" i="1"/>
  <c r="C76" i="1"/>
  <c r="C75" i="1"/>
  <c r="C74" i="1"/>
  <c r="C73" i="1"/>
  <c r="C72" i="1"/>
  <c r="C70" i="1"/>
  <c r="C71" i="1"/>
  <c r="C69" i="1"/>
  <c r="C68" i="1"/>
  <c r="C67" i="1"/>
  <c r="C66" i="1"/>
  <c r="C65" i="1"/>
  <c r="C64" i="1"/>
  <c r="C63" i="1"/>
  <c r="C62" i="1"/>
  <c r="C61" i="1"/>
  <c r="C60" i="1"/>
  <c r="C59" i="1"/>
  <c r="C53" i="1"/>
  <c r="C52" i="1"/>
  <c r="C51" i="1"/>
  <c r="C46" i="1"/>
  <c r="C45" i="1"/>
  <c r="C44" i="1"/>
  <c r="C43" i="1"/>
  <c r="C42" i="1"/>
  <c r="C41" i="1"/>
  <c r="C40" i="1"/>
  <c r="C39" i="1"/>
  <c r="C37" i="1" l="1"/>
  <c r="C36" i="1"/>
  <c r="C35" i="1"/>
  <c r="C33" i="1"/>
  <c r="C34" i="1"/>
  <c r="C32" i="1"/>
  <c r="C31" i="1"/>
  <c r="C30" i="1"/>
  <c r="C29" i="1"/>
  <c r="C28" i="1"/>
  <c r="C27" i="1"/>
  <c r="C26" i="1"/>
  <c r="C25" i="1"/>
  <c r="C24" i="1"/>
  <c r="C23" i="1"/>
  <c r="C22" i="1"/>
  <c r="C21" i="1"/>
  <c r="C20" i="1"/>
  <c r="C19" i="1"/>
  <c r="C18" i="1"/>
  <c r="C17" i="1"/>
  <c r="C16" i="1"/>
  <c r="C15" i="1"/>
  <c r="C14" i="1"/>
  <c r="C13" i="1"/>
  <c r="C12" i="1"/>
  <c r="C8" i="1"/>
  <c r="C5" i="1"/>
  <c r="C4" i="1"/>
  <c r="C2" i="1"/>
  <c r="C11" i="1"/>
  <c r="B2" i="5" l="1"/>
</calcChain>
</file>

<file path=xl/sharedStrings.xml><?xml version="1.0" encoding="utf-8"?>
<sst xmlns="http://schemas.openxmlformats.org/spreadsheetml/2006/main" count="2233" uniqueCount="1270">
  <si>
    <t>ruta</t>
  </si>
  <si>
    <t>TRUE</t>
  </si>
  <si>
    <t>geoqual</t>
  </si>
  <si>
    <t>pais</t>
  </si>
  <si>
    <t>pasaporte</t>
  </si>
  <si>
    <t>totalqual</t>
  </si>
  <si>
    <t>temp</t>
  </si>
  <si>
    <t>resol1</t>
  </si>
  <si>
    <t>latitud</t>
  </si>
  <si>
    <t>longitud</t>
  </si>
  <si>
    <t>genero</t>
  </si>
  <si>
    <t>especie</t>
  </si>
  <si>
    <t>ausencia</t>
  </si>
  <si>
    <t>pasaporteb</t>
  </si>
  <si>
    <t>figs</t>
  </si>
  <si>
    <t>pasaportec</t>
  </si>
  <si>
    <t>pareps</t>
  </si>
  <si>
    <t>pansel</t>
  </si>
  <si>
    <t>pastrat</t>
  </si>
  <si>
    <t>padiskmin</t>
  </si>
  <si>
    <t>padiskmax</t>
  </si>
  <si>
    <t>pasreq</t>
  </si>
  <si>
    <t>paelc</t>
  </si>
  <si>
    <t>mapaelc</t>
  </si>
  <si>
    <t>statelc</t>
  </si>
  <si>
    <t>modelby</t>
  </si>
  <si>
    <t>dismodel</t>
  </si>
  <si>
    <t>modcompl</t>
  </si>
  <si>
    <t>diseval</t>
  </si>
  <si>
    <t>datadiv2</t>
  </si>
  <si>
    <t>modelid</t>
  </si>
  <si>
    <t>FALSE</t>
  </si>
  <si>
    <t>GLMopt</t>
  </si>
  <si>
    <t>GBMopt</t>
  </si>
  <si>
    <t>GAMopt</t>
  </si>
  <si>
    <t>CTAopt</t>
  </si>
  <si>
    <t>ANNopt</t>
  </si>
  <si>
    <t>modelopc</t>
  </si>
  <si>
    <t>GLM</t>
  </si>
  <si>
    <t>GBM</t>
  </si>
  <si>
    <t>GAM</t>
  </si>
  <si>
    <t>CTA</t>
  </si>
  <si>
    <t>ANN</t>
  </si>
  <si>
    <t>SREopt</t>
  </si>
  <si>
    <t>FDA</t>
  </si>
  <si>
    <t>FDAopt</t>
  </si>
  <si>
    <t>MARS</t>
  </si>
  <si>
    <t>MARSopt</t>
  </si>
  <si>
    <t>RF</t>
  </si>
  <si>
    <t>MAXENT</t>
  </si>
  <si>
    <t>MAXENTopt</t>
  </si>
  <si>
    <t>NA</t>
  </si>
  <si>
    <t>tipensam</t>
  </si>
  <si>
    <t>resultados</t>
  </si>
  <si>
    <t>Seleccione un país/región / Select one country/region</t>
  </si>
  <si>
    <t>número entre 0 y 100 | number from 0 to 100</t>
  </si>
  <si>
    <t>TRUE = Si|yes, FALSE = No</t>
  </si>
  <si>
    <t>Seleccione una opción | Select one option</t>
  </si>
  <si>
    <t>campo numérico | numeric field</t>
  </si>
  <si>
    <t>modrep</t>
  </si>
  <si>
    <t>datadiv</t>
  </si>
  <si>
    <t>preval</t>
  </si>
  <si>
    <t>imporvar</t>
  </si>
  <si>
    <t>reescal</t>
  </si>
  <si>
    <t>modcomp</t>
  </si>
  <si>
    <t>modprop</t>
  </si>
  <si>
    <t>proysome</t>
  </si>
  <si>
    <t>proytest1</t>
  </si>
  <si>
    <t>proytest1u</t>
  </si>
  <si>
    <t>proysome2</t>
  </si>
  <si>
    <t>proytest2</t>
  </si>
  <si>
    <t>proytest2u</t>
  </si>
  <si>
    <t>binar</t>
  </si>
  <si>
    <t>binarmet</t>
  </si>
  <si>
    <t>maskout</t>
  </si>
  <si>
    <t>ensamb</t>
  </si>
  <si>
    <t>mod2bens</t>
  </si>
  <si>
    <t>ensamet</t>
  </si>
  <si>
    <t>testparam2</t>
  </si>
  <si>
    <t>probmean</t>
  </si>
  <si>
    <t>probcv</t>
  </si>
  <si>
    <t>probci</t>
  </si>
  <si>
    <t>probalfa</t>
  </si>
  <si>
    <t>probmedian</t>
  </si>
  <si>
    <t>probca</t>
  </si>
  <si>
    <t>probmw</t>
  </si>
  <si>
    <t>probmwd</t>
  </si>
  <si>
    <t>número entre 0.01 y 1 | number from 0.01 to 1</t>
  </si>
  <si>
    <t>Si/no</t>
  </si>
  <si>
    <t>Temp</t>
  </si>
  <si>
    <t>Resol1</t>
  </si>
  <si>
    <t>DESCRIPCION_ESPAÑOL</t>
  </si>
  <si>
    <t>DESCRIPTION_ENGLISH</t>
  </si>
  <si>
    <t>UNIDAD/UNIT</t>
  </si>
  <si>
    <t>FUENTE/SOURCE</t>
  </si>
  <si>
    <t>SOURCE_LINK</t>
  </si>
  <si>
    <t>REMARKS</t>
  </si>
  <si>
    <t>Temp prom anual</t>
  </si>
  <si>
    <t>bio_1</t>
  </si>
  <si>
    <t>Temperatura media anual</t>
  </si>
  <si>
    <t>Annual Mean Temperature</t>
  </si>
  <si>
    <t>°C</t>
  </si>
  <si>
    <t>Worldclim</t>
  </si>
  <si>
    <t>http://worldclim.org</t>
  </si>
  <si>
    <t>Temp prom cuarto mas calido</t>
  </si>
  <si>
    <t>bio_10</t>
  </si>
  <si>
    <t>Temperatura media del cuarto mas calido (los tres meses mas calidos)</t>
  </si>
  <si>
    <t>Mean Temperature of Warmest Quarter</t>
  </si>
  <si>
    <t>Temp prom cuarto mas frio</t>
  </si>
  <si>
    <t>bio_11</t>
  </si>
  <si>
    <t>Temperatura media del cuarto mas frio (los tres meses mas frios)</t>
  </si>
  <si>
    <t>Mean Temperature of Coldest Quarter</t>
  </si>
  <si>
    <t>Prec anual</t>
  </si>
  <si>
    <t>bio_12</t>
  </si>
  <si>
    <t>Precipitacion anual</t>
  </si>
  <si>
    <t>Annual Precipitation</t>
  </si>
  <si>
    <t>mm</t>
  </si>
  <si>
    <t>Prec mes mas humedo</t>
  </si>
  <si>
    <t>bio_13</t>
  </si>
  <si>
    <t>Precipitacion del mes mas humedo</t>
  </si>
  <si>
    <t>Precipitation of Wettest Month</t>
  </si>
  <si>
    <t>Prec mes mas seco</t>
  </si>
  <si>
    <t>bio_14</t>
  </si>
  <si>
    <t>Precipitacion del mes mas seco</t>
  </si>
  <si>
    <t>Precipitation of Driest Month</t>
  </si>
  <si>
    <t>Estacionalidad prec</t>
  </si>
  <si>
    <t>bio_15</t>
  </si>
  <si>
    <t>Estacionalidad en la precipitacion (coeficiente de variacion)</t>
  </si>
  <si>
    <t>Precipitation Seasonality (Coefficient of Variation)</t>
  </si>
  <si>
    <t>Prec cuarto  mas humedo</t>
  </si>
  <si>
    <t>bio_16</t>
  </si>
  <si>
    <t>Precipitacion del cuarto mas humedo (los tres meses mas lluviosos)</t>
  </si>
  <si>
    <t>Precipitation of Wettest Quarter</t>
  </si>
  <si>
    <t>Prec cuarto mas seco</t>
  </si>
  <si>
    <t>bio_17</t>
  </si>
  <si>
    <t>Precipitacion del cuarto mas seco (los tres meses mas secos)</t>
  </si>
  <si>
    <t>Precipitation of Driest Quarter</t>
  </si>
  <si>
    <t>Prec cuarto mas calido</t>
  </si>
  <si>
    <t>bio_18</t>
  </si>
  <si>
    <t>Precipitacion del cuarto mas calido (los tres meses mas calidos)</t>
  </si>
  <si>
    <t>Precipitation of Warmest Quarter</t>
  </si>
  <si>
    <t>Prec cuarto mas frio</t>
  </si>
  <si>
    <t>bio_19</t>
  </si>
  <si>
    <t>Precipitacion del cuarto mas frio (los tres meses mas frio)</t>
  </si>
  <si>
    <t>Precipitation of Coldest Quarter</t>
  </si>
  <si>
    <t>Rango prom temp diurnas</t>
  </si>
  <si>
    <t>bio_2</t>
  </si>
  <si>
    <t>Rango medio de temperaturas diurnas (medias mensuales (maxima temperatura-minima temperatura))</t>
  </si>
  <si>
    <t>Mean Diurnal Range (Mean of monthly (max temp - min temp))</t>
  </si>
  <si>
    <t>Isotermalidad</t>
  </si>
  <si>
    <t>bio_3</t>
  </si>
  <si>
    <t>Isotermalidad (BIOCLIM2/BIOCLIM7)(x100)</t>
  </si>
  <si>
    <t>Isothermality (BIO2/BIO7) (* 100)</t>
  </si>
  <si>
    <t xml:space="preserve"> </t>
  </si>
  <si>
    <t>Estacionalidad temp</t>
  </si>
  <si>
    <t>bio_4</t>
  </si>
  <si>
    <t>Estacionalidad en la temperatura (desviacion estandarx100)</t>
  </si>
  <si>
    <t>Temperature Seasonality (standard deviation *100)</t>
  </si>
  <si>
    <t>Max temp mes mas calido</t>
  </si>
  <si>
    <t>bio_5</t>
  </si>
  <si>
    <t>Maxima temperatura del mes mas calido</t>
  </si>
  <si>
    <t>Max Temperature of Warmest Month</t>
  </si>
  <si>
    <t>Min temp mes mas frio</t>
  </si>
  <si>
    <t>bio_6</t>
  </si>
  <si>
    <t>Minima temperatura del mes mas frio</t>
  </si>
  <si>
    <t>Min Temperature of Coldest Month</t>
  </si>
  <si>
    <t>Rango temp anual</t>
  </si>
  <si>
    <t>bio_7</t>
  </si>
  <si>
    <t>Rango de temperatura anual (BIOCLIM5 - BIOCLIM6)</t>
  </si>
  <si>
    <t>Temperature Annual Range (BIO5-BIO6)</t>
  </si>
  <si>
    <t>Temp prom cuarto humedo</t>
  </si>
  <si>
    <t>bio_8</t>
  </si>
  <si>
    <t>Temperatura media del cuarto mas humedo (los tres meses mas lluviosos)</t>
  </si>
  <si>
    <t>Mean Temperature of Wettest Quarter</t>
  </si>
  <si>
    <t>Temp prom cuarto seco</t>
  </si>
  <si>
    <t>bio_9</t>
  </si>
  <si>
    <t>Temperatura media del cuarto mas seco (los tres meses mas secos)</t>
  </si>
  <si>
    <t>Mean Temperature of Driest Quarter</t>
  </si>
  <si>
    <t>Prec prom 1</t>
  </si>
  <si>
    <t>prec_1</t>
  </si>
  <si>
    <t>Precipitacion total de enero</t>
  </si>
  <si>
    <t>Total january precipitation</t>
  </si>
  <si>
    <t>Prec prom 2</t>
  </si>
  <si>
    <t>prec_2</t>
  </si>
  <si>
    <t>Precipitacion total de febrero</t>
  </si>
  <si>
    <t>Total february precipitation</t>
  </si>
  <si>
    <t>Prec prom 3</t>
  </si>
  <si>
    <t>prec_3</t>
  </si>
  <si>
    <t>Precipitacion total de marzo</t>
  </si>
  <si>
    <t>Total march precipitation</t>
  </si>
  <si>
    <t>Prec prom 4</t>
  </si>
  <si>
    <t>prec_4</t>
  </si>
  <si>
    <t>Precipitacion total de abril</t>
  </si>
  <si>
    <t>Total april precipitation</t>
  </si>
  <si>
    <t>Prec prom 5</t>
  </si>
  <si>
    <t>prec_5</t>
  </si>
  <si>
    <t>Precipitacion total de mayo</t>
  </si>
  <si>
    <t>Total may precipitation</t>
  </si>
  <si>
    <t>Prec prom 6</t>
  </si>
  <si>
    <t>prec_6</t>
  </si>
  <si>
    <t>Precipitacion total de junio</t>
  </si>
  <si>
    <t>Total june precipitation</t>
  </si>
  <si>
    <t>Prec prom 7</t>
  </si>
  <si>
    <t>prec_7</t>
  </si>
  <si>
    <t>Precipitacion total de julio</t>
  </si>
  <si>
    <t>Total july precipitation</t>
  </si>
  <si>
    <t>Prec prom 8</t>
  </si>
  <si>
    <t>prec_8</t>
  </si>
  <si>
    <t>Precipitacion total de agosto</t>
  </si>
  <si>
    <t>Total august precipitation</t>
  </si>
  <si>
    <t>Prec prom 9</t>
  </si>
  <si>
    <t>prec_9</t>
  </si>
  <si>
    <t>Precipitacion total de septiembre</t>
  </si>
  <si>
    <t>Total september precipitation</t>
  </si>
  <si>
    <t>Prec prom 10</t>
  </si>
  <si>
    <t>prec_10</t>
  </si>
  <si>
    <t>Precipitacion total de octubre</t>
  </si>
  <si>
    <t>Total october precipitation</t>
  </si>
  <si>
    <t>Prec prom 11</t>
  </si>
  <si>
    <t>prec_11</t>
  </si>
  <si>
    <t>Precipitacion total de noviembre</t>
  </si>
  <si>
    <t>Total november precipitation</t>
  </si>
  <si>
    <t>Prec prom 12</t>
  </si>
  <si>
    <t>prec_12</t>
  </si>
  <si>
    <t>Precipitacion total de diciembre</t>
  </si>
  <si>
    <t>Total december precipitation</t>
  </si>
  <si>
    <t>Temp max 1</t>
  </si>
  <si>
    <t>tmax_1</t>
  </si>
  <si>
    <t>Temperatura maxima de enero</t>
  </si>
  <si>
    <t>Average january maximum temperature</t>
  </si>
  <si>
    <t>Temp max 2</t>
  </si>
  <si>
    <t>tmax_2</t>
  </si>
  <si>
    <t>Temperatura maxima de febrero</t>
  </si>
  <si>
    <t>Average february maximum temperature</t>
  </si>
  <si>
    <t>Temp max 3</t>
  </si>
  <si>
    <t>tmax_3</t>
  </si>
  <si>
    <t>Temperatura maxima de marzo</t>
  </si>
  <si>
    <t>Average march maximum temperature</t>
  </si>
  <si>
    <t>Temp max 4</t>
  </si>
  <si>
    <t>tmax_4</t>
  </si>
  <si>
    <t>Temperatura maxima de abril</t>
  </si>
  <si>
    <t>Average april maximum temperature</t>
  </si>
  <si>
    <t>Temp max 5</t>
  </si>
  <si>
    <t>tmax_5</t>
  </si>
  <si>
    <t>Temperatura maxima de mayo</t>
  </si>
  <si>
    <t>Average may maximum temperature</t>
  </si>
  <si>
    <t>Temp max 6</t>
  </si>
  <si>
    <t>tmax_6</t>
  </si>
  <si>
    <t>Temperatura maxima de junio</t>
  </si>
  <si>
    <t>Average june maximum temperature</t>
  </si>
  <si>
    <t>Temp max 7</t>
  </si>
  <si>
    <t>tmax_7</t>
  </si>
  <si>
    <t>Temperatura maxima de julio</t>
  </si>
  <si>
    <t>Average july maximum temperature</t>
  </si>
  <si>
    <t>Temp max 8</t>
  </si>
  <si>
    <t>tmax_8</t>
  </si>
  <si>
    <t>Temperatura maxima de agosto</t>
  </si>
  <si>
    <t>Average august maximum temperature</t>
  </si>
  <si>
    <t>Temp max 9</t>
  </si>
  <si>
    <t>tmax_9</t>
  </si>
  <si>
    <t>Temperatura maxima de septiembre</t>
  </si>
  <si>
    <t>Average september maximum temperature</t>
  </si>
  <si>
    <t>Temp max 10</t>
  </si>
  <si>
    <t>tmax_10</t>
  </si>
  <si>
    <t>Temperatura maxima de octubre</t>
  </si>
  <si>
    <t>Average october maximum temperature</t>
  </si>
  <si>
    <t>Temp max 11</t>
  </si>
  <si>
    <t>tmax_11</t>
  </si>
  <si>
    <t>Temperatura maxima de noviembre</t>
  </si>
  <si>
    <t>Average november maximum temperature</t>
  </si>
  <si>
    <t>Temp max 12</t>
  </si>
  <si>
    <t>tmax_12</t>
  </si>
  <si>
    <t>Temperatura maxima de diciembre</t>
  </si>
  <si>
    <t>Average december maximum temperature</t>
  </si>
  <si>
    <t>Temp prom 1</t>
  </si>
  <si>
    <t>tmean_1</t>
  </si>
  <si>
    <t>Temperatura media de enero</t>
  </si>
  <si>
    <t>Average january mean temperature</t>
  </si>
  <si>
    <t>Not available for projected future variables</t>
  </si>
  <si>
    <t>Temp prom 2</t>
  </si>
  <si>
    <t>tmean_2</t>
  </si>
  <si>
    <t>Temperatura media de febrero</t>
  </si>
  <si>
    <t>Average february mean temperature</t>
  </si>
  <si>
    <t>Temp prom 3</t>
  </si>
  <si>
    <t>tmean_3</t>
  </si>
  <si>
    <t>Temperatura media de marzo</t>
  </si>
  <si>
    <t>Average march mean temperature</t>
  </si>
  <si>
    <t>Temp prom 4</t>
  </si>
  <si>
    <t>tmean_4</t>
  </si>
  <si>
    <t>Temperatura media de abril</t>
  </si>
  <si>
    <t>Average april mean temperature</t>
  </si>
  <si>
    <t>Temp prom 5</t>
  </si>
  <si>
    <t>tmean_5</t>
  </si>
  <si>
    <t>Temperatura media de mayo</t>
  </si>
  <si>
    <t>Average may mean temperature</t>
  </si>
  <si>
    <t>Temp prom 6</t>
  </si>
  <si>
    <t>tmean_6</t>
  </si>
  <si>
    <t>Temperatura media de junio</t>
  </si>
  <si>
    <t>Average june mean temperature</t>
  </si>
  <si>
    <t>Temp prom 7</t>
  </si>
  <si>
    <t>tmean_7</t>
  </si>
  <si>
    <t>Temperatura media de julio</t>
  </si>
  <si>
    <t>Average july mean temperature</t>
  </si>
  <si>
    <t>Temp prom 8</t>
  </si>
  <si>
    <t>tmean_8</t>
  </si>
  <si>
    <t>Temperatura media de agosto</t>
  </si>
  <si>
    <t>Average august mean temperature</t>
  </si>
  <si>
    <t>Temp prom 9</t>
  </si>
  <si>
    <t>tmean_9</t>
  </si>
  <si>
    <t>Temperatura media de septiembre</t>
  </si>
  <si>
    <t>Average september mean temperature</t>
  </si>
  <si>
    <t>Temp prom 10</t>
  </si>
  <si>
    <t>tmean_10</t>
  </si>
  <si>
    <t>Temperatura media de octubre</t>
  </si>
  <si>
    <t>Average october mean temperature</t>
  </si>
  <si>
    <t>Temp prom 11</t>
  </si>
  <si>
    <t>tmean_11</t>
  </si>
  <si>
    <t>Temperatura media de noviembre</t>
  </si>
  <si>
    <t>Average november mean temperature</t>
  </si>
  <si>
    <t>Temp prom 12</t>
  </si>
  <si>
    <t>tmean_12</t>
  </si>
  <si>
    <t>Temperatura media de diciembre</t>
  </si>
  <si>
    <t>Average december mean temperature</t>
  </si>
  <si>
    <t>Temp min 1</t>
  </si>
  <si>
    <t>tmin_1</t>
  </si>
  <si>
    <t>Temperatura minima de enero</t>
  </si>
  <si>
    <t>Average january minimum temperature</t>
  </si>
  <si>
    <t>Temp min 2</t>
  </si>
  <si>
    <t>tmin_2</t>
  </si>
  <si>
    <t>Temperatura minima de febrero</t>
  </si>
  <si>
    <t>Average february minimum temperature</t>
  </si>
  <si>
    <t>Temp min 3</t>
  </si>
  <si>
    <t>tmin_3</t>
  </si>
  <si>
    <t>Temperatura minima de marzo</t>
  </si>
  <si>
    <t>Average march minimum temperature</t>
  </si>
  <si>
    <t>Temp min 4</t>
  </si>
  <si>
    <t>tmin_4</t>
  </si>
  <si>
    <t>Temperatura minima de abril</t>
  </si>
  <si>
    <t>Average april minimum temperature</t>
  </si>
  <si>
    <t>Temp min 5</t>
  </si>
  <si>
    <t>tmin_5</t>
  </si>
  <si>
    <t>Temperatura minima de mayo</t>
  </si>
  <si>
    <t>Average may minimum temperature</t>
  </si>
  <si>
    <t>Temp min 6</t>
  </si>
  <si>
    <t>tmin_6</t>
  </si>
  <si>
    <t>Temperatura minima de junio</t>
  </si>
  <si>
    <t>Average june minimum temperature</t>
  </si>
  <si>
    <t>Temp min 7</t>
  </si>
  <si>
    <t>tmin_7</t>
  </si>
  <si>
    <t>Temperatura minima de julio</t>
  </si>
  <si>
    <t>Average july minimum temperature</t>
  </si>
  <si>
    <t>Temp min 8</t>
  </si>
  <si>
    <t>tmin_8</t>
  </si>
  <si>
    <t>Temperatura minima de agosto</t>
  </si>
  <si>
    <t>Average august minimum temperature</t>
  </si>
  <si>
    <t>Temp min 9</t>
  </si>
  <si>
    <t>tmin_9</t>
  </si>
  <si>
    <t>Temperatura minima de septiembre</t>
  </si>
  <si>
    <t>Average september minimum temperature</t>
  </si>
  <si>
    <t>Temp min 10</t>
  </si>
  <si>
    <t>tmin_10</t>
  </si>
  <si>
    <t>Temperatura minima de octubre</t>
  </si>
  <si>
    <t>Average october minimum temperature</t>
  </si>
  <si>
    <t>Temp min 11</t>
  </si>
  <si>
    <t>tmin_11</t>
  </si>
  <si>
    <t>Temperatura minima de noviembre</t>
  </si>
  <si>
    <t>Average november minimum temperature</t>
  </si>
  <si>
    <t>Temp min 12</t>
  </si>
  <si>
    <t>tmin_12</t>
  </si>
  <si>
    <t>Temperatura minima de diciembre</t>
  </si>
  <si>
    <t>Average december minimum temperature</t>
  </si>
  <si>
    <t>Profundidad</t>
  </si>
  <si>
    <t>ref_depth</t>
  </si>
  <si>
    <t>Profundidad referencia de la unidad de suelo. La profundidad referencia de todas las unidades estan ajustadas a 100 cm (con algunas excepciones)</t>
  </si>
  <si>
    <t>Reference depth of the soil unit. Reference soil depth of all soil units are set at 100 cm (there are exceptions)</t>
  </si>
  <si>
    <t>Code</t>
  </si>
  <si>
    <t>HWS Database</t>
  </si>
  <si>
    <t>http://www.iiasa.ac.at/Research/LUC/External-World-soil-database/</t>
  </si>
  <si>
    <t>Edaphic variables cannot be projected for future conditions</t>
  </si>
  <si>
    <t>Sat bases subsuelo</t>
  </si>
  <si>
    <t>s_bs</t>
  </si>
  <si>
    <t>Saturacion de bases en subsuelo.</t>
  </si>
  <si>
    <t>Subsoil Base Saturation. This field gives the base saturation in subsoil.</t>
  </si>
  <si>
    <t>%</t>
  </si>
  <si>
    <t>CaCO3 subsuelo</t>
  </si>
  <si>
    <t>s_caco3</t>
  </si>
  <si>
    <t>Carbonato de calcio en subsuelo. Este campo ofrece el contenido de cal en subsuelo.</t>
  </si>
  <si>
    <t>Subsoil Calcium Carbonate. This field gives the calcium carbonate (lime) content in subsoil.</t>
  </si>
  <si>
    <t>% weight</t>
  </si>
  <si>
    <t>Yesos subsuelo</t>
  </si>
  <si>
    <t>s_caso4</t>
  </si>
  <si>
    <t>Yesos en subsuelo. Este campo ofrece el contenido de sulfato de calcio en subsuelo.</t>
  </si>
  <si>
    <t>Subsoil Gypsum. Calcium sulphate (gypsum) content in subsoil.</t>
  </si>
  <si>
    <t>CIC arcilla subsuelo</t>
  </si>
  <si>
    <t>s_cec_clay</t>
  </si>
  <si>
    <t>CEC de arcilla en subsuelo. CEC arcilla es la capacidad de intercambio cationico en la fraccion de arcilla</t>
  </si>
  <si>
    <t>Subsoil CEC (clay). This field gives the cation exchange capacity of the clay fraction.</t>
  </si>
  <si>
    <t>cmol/kg</t>
  </si>
  <si>
    <t>CIC subsuelo gral</t>
  </si>
  <si>
    <t>s_cec_soil</t>
  </si>
  <si>
    <t>CEC del suelo (general) en subsuelo. Este campo ofrece la capacidad de intercambio cationico en subsuelo.</t>
  </si>
  <si>
    <t>Subsoil CEC (soil). This field gives the cation exchange capacity.</t>
  </si>
  <si>
    <t>Arcilla en subsuelo</t>
  </si>
  <si>
    <t>s_clay</t>
  </si>
  <si>
    <t>Contenido de arcilla en subsuelo</t>
  </si>
  <si>
    <t>Subsoil Clay Fraction</t>
  </si>
  <si>
    <t>Salinidad subsuelo</t>
  </si>
  <si>
    <t>s_ece</t>
  </si>
  <si>
    <t>Salinidad en subsuelo. Este campo ofrece la conductividad electrica en subsuelo.</t>
  </si>
  <si>
    <t>Subsoil Salinity (Elco). This field gives the electrical conductivity of subsoil,</t>
  </si>
  <si>
    <t>dS/m</t>
  </si>
  <si>
    <t>Sodicidad subsuelo</t>
  </si>
  <si>
    <t>s_esp</t>
  </si>
  <si>
    <t>Sodicidad en subsuelo. Este campo ofrece el porcentaje de sodio intercambiable en subsuelo.</t>
  </si>
  <si>
    <t>Subsoil Sodicity (ESP). This field gives the exchangeable sodium percentage in the subsoil.</t>
  </si>
  <si>
    <t>Grava en subsuelo</t>
  </si>
  <si>
    <t>s_gravel</t>
  </si>
  <si>
    <t>Contenido de grava en subsuelo</t>
  </si>
  <si>
    <t>Subsoil Gravel Content</t>
  </si>
  <si>
    <t>%vol.</t>
  </si>
  <si>
    <t>Carbon org subsuelo</t>
  </si>
  <si>
    <t>s_oc</t>
  </si>
  <si>
    <t>Contenido de carbon organico en subsuelo</t>
  </si>
  <si>
    <t>Subsoil Organic Carbon</t>
  </si>
  <si>
    <t>pH subsuelo</t>
  </si>
  <si>
    <t>s_ph_h2o</t>
  </si>
  <si>
    <t>pH en subsuelo. pH, medido en solucion suelo-agua, es una medida de acidez o alcalinidad del suelo.</t>
  </si>
  <si>
    <t>Subsoil pH (H2O). pH, measured in a soil-water solution, is a measure for the acidity and alkalinity of the soil.</t>
  </si>
  <si>
    <t>-log(H+)</t>
  </si>
  <si>
    <t>Densidad subsuelo</t>
  </si>
  <si>
    <t>s_ref_bulk</t>
  </si>
  <si>
    <t>Densidad aparente de referencia en subsuelo. Es la masa de muchas particulas del material dividido por el volumen que ocupan.</t>
  </si>
  <si>
    <t>Subsoil Reference Bulk Density. It is the mass of many particles of the material divided by the volume they occupy.</t>
  </si>
  <si>
    <t>kg/dm3</t>
  </si>
  <si>
    <t>Arena en subsuelo</t>
  </si>
  <si>
    <t>s_sand</t>
  </si>
  <si>
    <t>Contenido de arena en subsuelo</t>
  </si>
  <si>
    <t>Subsoil Sand Fraction</t>
  </si>
  <si>
    <t>Limo en subsuelo</t>
  </si>
  <si>
    <t>s_silt</t>
  </si>
  <si>
    <t>Contenido de limo en subsuelo</t>
  </si>
  <si>
    <t>Subsoil Silt Fraction</t>
  </si>
  <si>
    <t>Bases int subsuelo</t>
  </si>
  <si>
    <t>s_teb</t>
  </si>
  <si>
    <t>Bases intercambiables totales en subsuelo</t>
  </si>
  <si>
    <t>Subsoil TEB. This field gives the total exchangeable bases in subsoil.</t>
  </si>
  <si>
    <t>Sat bases suelo</t>
  </si>
  <si>
    <t>t_bs</t>
  </si>
  <si>
    <t>Saturacion de bases en suelo superficial.</t>
  </si>
  <si>
    <t>Topsoil Base Saturation. This field gives the base saturation in topsoil.</t>
  </si>
  <si>
    <t>CaCO3 suelo</t>
  </si>
  <si>
    <t>t_caco3</t>
  </si>
  <si>
    <t>Carbonato de calcio en suelo superficial. Este campo ofrece el contenido de cal en suelo superficial.</t>
  </si>
  <si>
    <t>Topsoil Calcium Carbonate. This field gives the calcium carbonate (lime) content in topsoil.</t>
  </si>
  <si>
    <t>Yesos suelo</t>
  </si>
  <si>
    <t>t_caso4</t>
  </si>
  <si>
    <t>Yesos en suelo superficial. Este campo ofrece el contenido de sulfato de calcio en suelo superficial.</t>
  </si>
  <si>
    <t>Topsoil Gypsum. Calcium sulphate (gypsum) content in topsoil.</t>
  </si>
  <si>
    <t>CIC arcilla suelo</t>
  </si>
  <si>
    <t>t_cec_clay</t>
  </si>
  <si>
    <t>CEC de arcilla en suelo superficial. CEC arcilla es la capacidad de intercambio cationico en la fraccion de arcilla</t>
  </si>
  <si>
    <t>Topsoil CEC (clay). This field gives the cation exchange capacity of the clay fraction.</t>
  </si>
  <si>
    <t>CIC suelo gral</t>
  </si>
  <si>
    <t>t_cec_soil</t>
  </si>
  <si>
    <t>CEC del suelo (general) en suelo superficial. Este campo ofrece la capacidad de intercambio cationico en suelo superficial.</t>
  </si>
  <si>
    <t>Topsoil CEC (soil). This field gives the cation exchange capacity.</t>
  </si>
  <si>
    <t>Arcilla en suelo</t>
  </si>
  <si>
    <t>t_clay</t>
  </si>
  <si>
    <t>Contenido de arcilla en suelo superficial</t>
  </si>
  <si>
    <t>Topsoil Clay Fraction</t>
  </si>
  <si>
    <t>Salinidad suelo</t>
  </si>
  <si>
    <t>t_ece</t>
  </si>
  <si>
    <t>Salinidad en suelo superficial. Este campo ofrece la conductividad electrica en suelo superficial.</t>
  </si>
  <si>
    <t>Topsoil Salinity (Elco). This field gives the electrical conductivity of topsoil,</t>
  </si>
  <si>
    <t>Sodicidad suelo</t>
  </si>
  <si>
    <t>t_esp</t>
  </si>
  <si>
    <t>Sodicidad en suelo superficial. Este campo ofrece el porcentaje de sodio intercambiable en suelo superficial.</t>
  </si>
  <si>
    <t>Topsoil Sodicity (ESP). This field gives the exchangeable sodium percentage in the topsoil.</t>
  </si>
  <si>
    <t>Grava en suelo</t>
  </si>
  <si>
    <t>t_gravel</t>
  </si>
  <si>
    <t>Contenido de grava en suelo superficial</t>
  </si>
  <si>
    <t>Topsoil Gravel Content</t>
  </si>
  <si>
    <t>Carbon org suelo</t>
  </si>
  <si>
    <t>t_oc</t>
  </si>
  <si>
    <t>Contenido de carbon organico en suelo superficial</t>
  </si>
  <si>
    <t>Topsoil Organic Carbon</t>
  </si>
  <si>
    <t>pH suelo</t>
  </si>
  <si>
    <t>t_ph_h2o</t>
  </si>
  <si>
    <t>pH en suelo superficial. pH, medido en solucion suelo-agua, es una medida de acidez o alcalinidad del suelo.</t>
  </si>
  <si>
    <t>Topsoil pH (H2O). pH, measured in a soil-water solution, is a measure for the acidity and alkalinity of the soil.</t>
  </si>
  <si>
    <t>Densidad suelo</t>
  </si>
  <si>
    <t>t_ref_bulk</t>
  </si>
  <si>
    <t>Densidad aparente de referencia en suelo superficial. Es la masa de muchas particulas del material dividido por el volumen que ocupan.</t>
  </si>
  <si>
    <t>Topsoil Reference Bulk Density. It is the mass of many particles of the material divided by the volume they occupy.</t>
  </si>
  <si>
    <t>Arena en suelo</t>
  </si>
  <si>
    <t>t_sand</t>
  </si>
  <si>
    <t>Contenido de arena en suelo superficial</t>
  </si>
  <si>
    <t>Topsoil Sand Fraction</t>
  </si>
  <si>
    <t>Limo en suelo</t>
  </si>
  <si>
    <t>t_silt</t>
  </si>
  <si>
    <t>Contenido de limo en suelo superficial</t>
  </si>
  <si>
    <t>Topsoil Silt Fraction</t>
  </si>
  <si>
    <t>Bases int suelo</t>
  </si>
  <si>
    <t>t_teb</t>
  </si>
  <si>
    <t>Bases intercambiables totales en suelo superficial</t>
  </si>
  <si>
    <t>Topsoil TEB. This field gives the total exchangeable bases in topsoil.</t>
  </si>
  <si>
    <t>Elevacion</t>
  </si>
  <si>
    <t>alt</t>
  </si>
  <si>
    <t>Elevacion. Metros sobre el nivel del mar</t>
  </si>
  <si>
    <t>Elevation. Meters over the sea level.</t>
  </si>
  <si>
    <t>m</t>
  </si>
  <si>
    <t>SRTM</t>
  </si>
  <si>
    <t>http://srtm.csi.cgiar.org/</t>
  </si>
  <si>
    <t>Geophysic variables cannot be projected for future conditions</t>
  </si>
  <si>
    <t>Orientacion</t>
  </si>
  <si>
    <t>aspect</t>
  </si>
  <si>
    <t>Orientacion (en grados) de la superficie del terreno. 0 y 359 corresponden al norte.</t>
  </si>
  <si>
    <t>Aspect (in degrees) of the land surface. 0 and 359 correspond to north.</t>
  </si>
  <si>
    <t>º</t>
  </si>
  <si>
    <t>Derivada de SRTM DEM</t>
  </si>
  <si>
    <t>Esticidad</t>
  </si>
  <si>
    <t>eastness</t>
  </si>
  <si>
    <t>Esticidad. Toma valores cercanos a 1 si la orientacion tiende al este, -1 si tiende al oeste y 0 si la orientacion tiende a norte o sur.</t>
  </si>
  <si>
    <t>Northness will take values close to 1 if the aspect is generally northward, close to -1 if the aspect is southward, and close to 0 if the aspect is either east or west.</t>
  </si>
  <si>
    <t>Norticidad</t>
  </si>
  <si>
    <t>northness</t>
  </si>
  <si>
    <t>Norticidad. Toma valores cercanos a 1 si la orientacion tiende al norte, -1 si tiende al sur y 0 si la orientacion tiende a este u oeste.</t>
  </si>
  <si>
    <t>Eastness will take values close to 1 if the aspect is generally eastward, close to -1 if the aspect is westward, and close to 0 if the aspect is either north or south.</t>
  </si>
  <si>
    <t>Pendiente grados</t>
  </si>
  <si>
    <t>slope</t>
  </si>
  <si>
    <t>Pendiente (en grados) de la superficie del terreno</t>
  </si>
  <si>
    <t>Slope (in degrees) of the land surface</t>
  </si>
  <si>
    <t>MODELA_CODE</t>
  </si>
  <si>
    <t>INTERNAL_CODE</t>
  </si>
  <si>
    <t>"Temp prom cuarto mas calido"</t>
  </si>
  <si>
    <t>"Temp prom cuarto mas frio"</t>
  </si>
  <si>
    <t>"Prec anual"</t>
  </si>
  <si>
    <t>"Prec mes mas humedo"</t>
  </si>
  <si>
    <t>"Prec mes mas seco"</t>
  </si>
  <si>
    <t>"Estacionalidad prec"</t>
  </si>
  <si>
    <t>"Prec cuarto  mas humedo"</t>
  </si>
  <si>
    <t>"Prec cuarto mas seco"</t>
  </si>
  <si>
    <t>"Prec cuarto mas calido"</t>
  </si>
  <si>
    <t>"Prec cuarto mas frio"</t>
  </si>
  <si>
    <t>"Rango prom temp diurnas"</t>
  </si>
  <si>
    <t>"Isotermalidad"</t>
  </si>
  <si>
    <t>"Estacionalidad temp"</t>
  </si>
  <si>
    <t>"Max temp mes mas calido"</t>
  </si>
  <si>
    <t>"Min temp mes mas frio"</t>
  </si>
  <si>
    <t>"Rango temp anual"</t>
  </si>
  <si>
    <t>"Temp prom cuarto humedo"</t>
  </si>
  <si>
    <t>"Temp prom cuarto seco"</t>
  </si>
  <si>
    <t>"Prec prom 1"</t>
  </si>
  <si>
    <t>"Prec prom 2"</t>
  </si>
  <si>
    <t>"Prec prom 3"</t>
  </si>
  <si>
    <t>"Prec prom 4"</t>
  </si>
  <si>
    <t>"Prec prom 5"</t>
  </si>
  <si>
    <t>"Prec prom 6"</t>
  </si>
  <si>
    <t>"Prec prom 7"</t>
  </si>
  <si>
    <t>"Prec prom 8"</t>
  </si>
  <si>
    <t>"Prec prom 9"</t>
  </si>
  <si>
    <t>"Prec prom 10"</t>
  </si>
  <si>
    <t>"Prec prom 11"</t>
  </si>
  <si>
    <t>"Prec prom 12"</t>
  </si>
  <si>
    <t>"Temp max 1"</t>
  </si>
  <si>
    <t>"Temp max 2"</t>
  </si>
  <si>
    <t>"Temp max 3"</t>
  </si>
  <si>
    <t>"Temp max 4"</t>
  </si>
  <si>
    <t>"Temp max 5"</t>
  </si>
  <si>
    <t>"Temp max 6"</t>
  </si>
  <si>
    <t>"Temp max 7"</t>
  </si>
  <si>
    <t>"Temp max 8"</t>
  </si>
  <si>
    <t>"Temp max 9"</t>
  </si>
  <si>
    <t>"Temp max 10"</t>
  </si>
  <si>
    <t>"Temp max 11"</t>
  </si>
  <si>
    <t>"Temp max 12"</t>
  </si>
  <si>
    <t>"Temp prom 1"</t>
  </si>
  <si>
    <t>"Temp prom 2"</t>
  </si>
  <si>
    <t>"Temp prom 3"</t>
  </si>
  <si>
    <t>"Temp prom 4"</t>
  </si>
  <si>
    <t>"Temp prom 5"</t>
  </si>
  <si>
    <t>"Temp prom 6"</t>
  </si>
  <si>
    <t>"Temp prom 7"</t>
  </si>
  <si>
    <t>"Temp prom 8"</t>
  </si>
  <si>
    <t>"Temp prom 9"</t>
  </si>
  <si>
    <t>"Temp prom 10"</t>
  </si>
  <si>
    <t>"Temp prom 11"</t>
  </si>
  <si>
    <t>"Temp prom 12"</t>
  </si>
  <si>
    <t>"Temp min 1"</t>
  </si>
  <si>
    <t>"Temp min 2"</t>
  </si>
  <si>
    <t>"Temp min 3"</t>
  </si>
  <si>
    <t>"Temp min 4"</t>
  </si>
  <si>
    <t>"Temp min 5"</t>
  </si>
  <si>
    <t>"Temp min 6"</t>
  </si>
  <si>
    <t>"Temp min 7"</t>
  </si>
  <si>
    <t>"Temp min 8"</t>
  </si>
  <si>
    <t>"Temp min 9"</t>
  </si>
  <si>
    <t>"Temp min 10"</t>
  </si>
  <si>
    <t>"Temp min 11"</t>
  </si>
  <si>
    <t>"Temp min 12"</t>
  </si>
  <si>
    <t>"Profundidad"</t>
  </si>
  <si>
    <t>"Sat bases subsuelo"</t>
  </si>
  <si>
    <t>"CaCO3 subsuelo"</t>
  </si>
  <si>
    <t>"Yesos subsuelo"</t>
  </si>
  <si>
    <t>"CIC arcilla subsuelo"</t>
  </si>
  <si>
    <t>"CIC subsuelo gral"</t>
  </si>
  <si>
    <t>"Arcilla en subsuelo"</t>
  </si>
  <si>
    <t>"Salinidad subsuelo"</t>
  </si>
  <si>
    <t>"Sodicidad subsuelo"</t>
  </si>
  <si>
    <t>"Grava en subsuelo"</t>
  </si>
  <si>
    <t>"Carbon org subsuelo"</t>
  </si>
  <si>
    <t>"pH subsuelo"</t>
  </si>
  <si>
    <t>"Densidad subsuelo"</t>
  </si>
  <si>
    <t>"Arena en subsuelo"</t>
  </si>
  <si>
    <t>"Limo en subsuelo"</t>
  </si>
  <si>
    <t>"Bases int subsuelo"</t>
  </si>
  <si>
    <t>"Sat bases suelo"</t>
  </si>
  <si>
    <t>"CaCO3 suelo"</t>
  </si>
  <si>
    <t>"Yesos suelo"</t>
  </si>
  <si>
    <t>"CIC arcilla suelo"</t>
  </si>
  <si>
    <t>"CIC suelo gral"</t>
  </si>
  <si>
    <t>"Arcilla en suelo"</t>
  </si>
  <si>
    <t>"Salinidad suelo"</t>
  </si>
  <si>
    <t>"Sodicidad suelo"</t>
  </si>
  <si>
    <t>"Grava en suelo"</t>
  </si>
  <si>
    <t>"Carbon org suelo"</t>
  </si>
  <si>
    <t>"pH suelo"</t>
  </si>
  <si>
    <t>"Densidad suelo"</t>
  </si>
  <si>
    <t>"Arena en suelo"</t>
  </si>
  <si>
    <t>"Limo en suelo"</t>
  </si>
  <si>
    <t>"Bases int suelo"</t>
  </si>
  <si>
    <t>"Elevacion"</t>
  </si>
  <si>
    <t>"Orientacion"</t>
  </si>
  <si>
    <t>"Esticidad"</t>
  </si>
  <si>
    <t>"Norticidad"</t>
  </si>
  <si>
    <t>"Pendiente grados"</t>
  </si>
  <si>
    <t>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t>
  </si>
  <si>
    <t>Ausencia</t>
  </si>
  <si>
    <t>número entre 1 y 100 | number from 1 to 100</t>
  </si>
  <si>
    <t>proytest</t>
  </si>
  <si>
    <t>Temp prom anual'</t>
  </si>
  <si>
    <t>Argentina</t>
  </si>
  <si>
    <t>present</t>
  </si>
  <si>
    <t>Celdas 1x1 km aprox (30 arc-seg)</t>
  </si>
  <si>
    <t>pseudo absence</t>
  </si>
  <si>
    <t>sre</t>
  </si>
  <si>
    <t>dismo</t>
  </si>
  <si>
    <t>bioclim</t>
  </si>
  <si>
    <t>KAPPA</t>
  </si>
  <si>
    <t>best</t>
  </si>
  <si>
    <t>PA_dataset+repet</t>
  </si>
  <si>
    <t>proportional</t>
  </si>
  <si>
    <t>Bolivia</t>
  </si>
  <si>
    <t>future</t>
  </si>
  <si>
    <t>Celdas 5x5 km aprox (2.5 arc-min)</t>
  </si>
  <si>
    <t>absence</t>
  </si>
  <si>
    <t>disk</t>
  </si>
  <si>
    <t>biomod</t>
  </si>
  <si>
    <t>domain</t>
  </si>
  <si>
    <t>TSS</t>
  </si>
  <si>
    <t>all</t>
  </si>
  <si>
    <t>PA_dataset+algo</t>
  </si>
  <si>
    <t>Brasil</t>
  </si>
  <si>
    <t>celdas 10x10 km aprox (5 arc-min)</t>
  </si>
  <si>
    <t>elc</t>
  </si>
  <si>
    <t>maxent</t>
  </si>
  <si>
    <t>ROC</t>
  </si>
  <si>
    <t>PA_dataset</t>
  </si>
  <si>
    <t>Chile</t>
  </si>
  <si>
    <t>celdas 20x20 km aprox (10 arc-min)</t>
  </si>
  <si>
    <t>random</t>
  </si>
  <si>
    <t>FAR</t>
  </si>
  <si>
    <t>algo</t>
  </si>
  <si>
    <t>Colombia</t>
  </si>
  <si>
    <t>SR</t>
  </si>
  <si>
    <t>Canada</t>
  </si>
  <si>
    <t>ACCURACY</t>
  </si>
  <si>
    <t>China</t>
  </si>
  <si>
    <t>BIAS</t>
  </si>
  <si>
    <t>Meso America</t>
  </si>
  <si>
    <t>POD</t>
  </si>
  <si>
    <t>Russia</t>
  </si>
  <si>
    <t>CSI</t>
  </si>
  <si>
    <t>South America</t>
  </si>
  <si>
    <t>ETS</t>
  </si>
  <si>
    <t>United States</t>
  </si>
  <si>
    <t>Australia</t>
  </si>
  <si>
    <t>Chile continental</t>
  </si>
  <si>
    <t>Costa Rica</t>
  </si>
  <si>
    <t>Cuba</t>
  </si>
  <si>
    <t>Ecuador</t>
  </si>
  <si>
    <t>Guatemala</t>
  </si>
  <si>
    <t>Honduras</t>
  </si>
  <si>
    <t>Mexico</t>
  </si>
  <si>
    <t>Nicaragua</t>
  </si>
  <si>
    <t>Panama</t>
  </si>
  <si>
    <t>Paraguay</t>
  </si>
  <si>
    <t>Peru</t>
  </si>
  <si>
    <t>Rep_Dominicana</t>
  </si>
  <si>
    <t>El Salvador</t>
  </si>
  <si>
    <t>Uruguay</t>
  </si>
  <si>
    <t>Venezuela</t>
  </si>
  <si>
    <t>Albania</t>
  </si>
  <si>
    <t>Austria</t>
  </si>
  <si>
    <t>Belarus</t>
  </si>
  <si>
    <t>Belgium</t>
  </si>
  <si>
    <t>BosniaHerzegovina</t>
  </si>
  <si>
    <t>Bulgaria</t>
  </si>
  <si>
    <t>Croatia</t>
  </si>
  <si>
    <t>CzechRepublic</t>
  </si>
  <si>
    <t>Denmark</t>
  </si>
  <si>
    <t>Estonia</t>
  </si>
  <si>
    <t>Finland</t>
  </si>
  <si>
    <t>France</t>
  </si>
  <si>
    <t>Germany</t>
  </si>
  <si>
    <t>Greece</t>
  </si>
  <si>
    <t>Hungary</t>
  </si>
  <si>
    <t>Ireland</t>
  </si>
  <si>
    <t>Italy</t>
  </si>
  <si>
    <t>Latvia</t>
  </si>
  <si>
    <t>Lithuania</t>
  </si>
  <si>
    <t>Macedonia</t>
  </si>
  <si>
    <t>Moldova</t>
  </si>
  <si>
    <t>Montenegro</t>
  </si>
  <si>
    <t>Netherlands</t>
  </si>
  <si>
    <t>Norway</t>
  </si>
  <si>
    <t>Poland</t>
  </si>
  <si>
    <t>Portugal</t>
  </si>
  <si>
    <t>Romania</t>
  </si>
  <si>
    <t>Serbia</t>
  </si>
  <si>
    <t>Slovakia</t>
  </si>
  <si>
    <t>Slovenia</t>
  </si>
  <si>
    <t>Spain</t>
  </si>
  <si>
    <t>Sweden</t>
  </si>
  <si>
    <t>Switzerland</t>
  </si>
  <si>
    <t>Turkey</t>
  </si>
  <si>
    <t>UnitedKingdom</t>
  </si>
  <si>
    <t>Ukraine</t>
  </si>
  <si>
    <t>Europe</t>
  </si>
  <si>
    <t>Afghanistan</t>
  </si>
  <si>
    <t>Algeria</t>
  </si>
  <si>
    <t>Angola</t>
  </si>
  <si>
    <t>Armenia</t>
  </si>
  <si>
    <t>Azerbaijan</t>
  </si>
  <si>
    <t>Bahrain</t>
  </si>
  <si>
    <t>Bangladesh</t>
  </si>
  <si>
    <t>Benin</t>
  </si>
  <si>
    <t>Botswana</t>
  </si>
  <si>
    <t>Burkina Faso</t>
  </si>
  <si>
    <t>Burundi</t>
  </si>
  <si>
    <t>Cent African Republic</t>
  </si>
  <si>
    <t>Cambodia</t>
  </si>
  <si>
    <t>Cameroon</t>
  </si>
  <si>
    <t>Chad</t>
  </si>
  <si>
    <t>Christmas Island</t>
  </si>
  <si>
    <t>Cote dIvoire</t>
  </si>
  <si>
    <t>Cyprus</t>
  </si>
  <si>
    <t>Dem Rep of the Congo</t>
  </si>
  <si>
    <t>Djibouti</t>
  </si>
  <si>
    <t>East Timor</t>
  </si>
  <si>
    <t>Egypt</t>
  </si>
  <si>
    <t>Equatorial Guinea</t>
  </si>
  <si>
    <t>Eritrea</t>
  </si>
  <si>
    <t>Ethiopia</t>
  </si>
  <si>
    <t>French Guiana</t>
  </si>
  <si>
    <t>French South Territ</t>
  </si>
  <si>
    <t>Gabon</t>
  </si>
  <si>
    <t>Gambia</t>
  </si>
  <si>
    <t>Georgia</t>
  </si>
  <si>
    <t>Ghana</t>
  </si>
  <si>
    <t>Guinea</t>
  </si>
  <si>
    <t>Guinea-Bissau</t>
  </si>
  <si>
    <t>Guyana</t>
  </si>
  <si>
    <t>Iceland</t>
  </si>
  <si>
    <t>India</t>
  </si>
  <si>
    <t>Indonesia</t>
  </si>
  <si>
    <t>Iran</t>
  </si>
  <si>
    <t>Iraq</t>
  </si>
  <si>
    <t>Israel</t>
  </si>
  <si>
    <t>Japan</t>
  </si>
  <si>
    <t>Jordan</t>
  </si>
  <si>
    <t>Kazakhstan</t>
  </si>
  <si>
    <t>Kenya</t>
  </si>
  <si>
    <t>Kuwait</t>
  </si>
  <si>
    <t>Kyrgyzstan</t>
  </si>
  <si>
    <t>Laos</t>
  </si>
  <si>
    <t>Lebanon</t>
  </si>
  <si>
    <t>Lesotho</t>
  </si>
  <si>
    <t>Liberia</t>
  </si>
  <si>
    <t>Libya</t>
  </si>
  <si>
    <t>Madagascar</t>
  </si>
  <si>
    <t>Malawi</t>
  </si>
  <si>
    <t>Malaysia</t>
  </si>
  <si>
    <t>Mali</t>
  </si>
  <si>
    <t>Mauritania</t>
  </si>
  <si>
    <t>Mauritius</t>
  </si>
  <si>
    <t>Mayotte</t>
  </si>
  <si>
    <t>Mongolia</t>
  </si>
  <si>
    <t>Morocco</t>
  </si>
  <si>
    <t>Mozambique</t>
  </si>
  <si>
    <t>Myanmar</t>
  </si>
  <si>
    <t>Namibia</t>
  </si>
  <si>
    <t>Nepal</t>
  </si>
  <si>
    <t>New Zealand</t>
  </si>
  <si>
    <t>Niger</t>
  </si>
  <si>
    <t>Nigeria</t>
  </si>
  <si>
    <t>North Korea</t>
  </si>
  <si>
    <t>Oman</t>
  </si>
  <si>
    <t>Pakistan</t>
  </si>
  <si>
    <t>Palestina</t>
  </si>
  <si>
    <t>Papua New Guinea</t>
  </si>
  <si>
    <t>Philippines</t>
  </si>
  <si>
    <t>Qatar</t>
  </si>
  <si>
    <t>Republic of Congo</t>
  </si>
  <si>
    <t>Rwanda</t>
  </si>
  <si>
    <t>Sao Tome and Principe</t>
  </si>
  <si>
    <t>Saudi Arabia</t>
  </si>
  <si>
    <t>Senegal</t>
  </si>
  <si>
    <t>Sierra Leone</t>
  </si>
  <si>
    <t>Singapore</t>
  </si>
  <si>
    <t>Somalia</t>
  </si>
  <si>
    <t>South Africa</t>
  </si>
  <si>
    <t>South Korea</t>
  </si>
  <si>
    <t>South Sudan</t>
  </si>
  <si>
    <t>Sri Lanka</t>
  </si>
  <si>
    <t>Sudan</t>
  </si>
  <si>
    <t>Suriname</t>
  </si>
  <si>
    <t>Swaziland</t>
  </si>
  <si>
    <t>Syria</t>
  </si>
  <si>
    <t>Taiwan</t>
  </si>
  <si>
    <t>Tajikistan</t>
  </si>
  <si>
    <t>Tanzania</t>
  </si>
  <si>
    <t>Thailand</t>
  </si>
  <si>
    <t>Togo</t>
  </si>
  <si>
    <t>Tunisia</t>
  </si>
  <si>
    <t>Turkmenistan</t>
  </si>
  <si>
    <t>United Arab Emirates</t>
  </si>
  <si>
    <t>Uganda</t>
  </si>
  <si>
    <t>Uzbekistan</t>
  </si>
  <si>
    <t>Vietnam</t>
  </si>
  <si>
    <t>Western Sahara</t>
  </si>
  <si>
    <t>Yemen</t>
  </si>
  <si>
    <t>Zambia</t>
  </si>
  <si>
    <t>Zimbabwe</t>
  </si>
  <si>
    <t>World</t>
  </si>
  <si>
    <t>user1</t>
  </si>
  <si>
    <t>user2</t>
  </si>
  <si>
    <t>user3</t>
  </si>
  <si>
    <t>para indicar la ruta  use sólo este slash/ | to indicate the path use only this slash /</t>
  </si>
  <si>
    <t xml:space="preserve">SRE </t>
  </si>
  <si>
    <t>nombre incluye la extensión .txt, el archivo debe estar en carpeta 'Pasaporte' | name has to include .txt extension, file has to be located in 'Pasaporte' folder</t>
  </si>
  <si>
    <t>nombre incluye extensión .grd, archivo debe estar en carpeta 'ELCmapas' | name includes .grd extension, file has to be located in 'ELCmapas' folder</t>
  </si>
  <si>
    <t>nombre incluye extensión .txt, archivo debe estar en carpeta 'ELCmapas' | name includes .txt extension, file has to be located in 'ELCmapas' folder</t>
  </si>
  <si>
    <t>nombre incluye extensión .txt, archivo en carpeta 'ModelOptions' | name has to include .txt extension, file has to be located in 'ModelOptions' folder</t>
  </si>
  <si>
    <t>nombre entre ', incluya extensión .txt, archivo en carpeta 'ModelOptions' | name must be within ', include .txt extension, file has to be located in 'ModelOptions' folder</t>
  </si>
  <si>
    <t>variabv[1]</t>
  </si>
  <si>
    <t>variabv[2]</t>
  </si>
  <si>
    <t>variabv[3]</t>
  </si>
  <si>
    <t>variabv[4]</t>
  </si>
  <si>
    <t>variabv[5]</t>
  </si>
  <si>
    <t>variabv[6]</t>
  </si>
  <si>
    <t>variabv[7]</t>
  </si>
  <si>
    <t>variabv[8]</t>
  </si>
  <si>
    <t>variabv[9]</t>
  </si>
  <si>
    <t>variabv[10]</t>
  </si>
  <si>
    <t>Variables</t>
  </si>
  <si>
    <t>Seleccione una variable ecogeográfica a ser utilizada para modelizar | Select one variable to be used for modeling</t>
  </si>
  <si>
    <t>Modelos</t>
  </si>
  <si>
    <t>SRE</t>
  </si>
  <si>
    <t>Seleccione un algoritmo | Select one algorithm</t>
  </si>
  <si>
    <t>Seleccione un algoritmo no seleccionado en otra fila de 'modelos' | Select one algorithm non-selected in other 'modelos' rows</t>
  </si>
  <si>
    <t>modelos[1]</t>
  </si>
  <si>
    <t>modelos[2]</t>
  </si>
  <si>
    <t>modelos[3]</t>
  </si>
  <si>
    <t>modelos[4]</t>
  </si>
  <si>
    <t>modelos[5]</t>
  </si>
  <si>
    <t>modelos[6]</t>
  </si>
  <si>
    <t>modelos[7]</t>
  </si>
  <si>
    <t>modelos[8]</t>
  </si>
  <si>
    <t>modelos[9]</t>
  </si>
  <si>
    <t>modelos[10]</t>
  </si>
  <si>
    <t>paelc[1]</t>
  </si>
  <si>
    <t>paelc[2]</t>
  </si>
  <si>
    <t>paelc[3]</t>
  </si>
  <si>
    <t>paelc[4]</t>
  </si>
  <si>
    <t>Seleccione un cuartil | Select one quartile</t>
  </si>
  <si>
    <t>Seleccione un cuartil no seleccionado en otros campos paelc| Select one quartile non-selected in other paelc fields</t>
  </si>
  <si>
    <t>nula/null</t>
  </si>
  <si>
    <t>baja/low</t>
  </si>
  <si>
    <t>media baja/mid-low</t>
  </si>
  <si>
    <t>media alta/mid-high</t>
  </si>
  <si>
    <t>alta/high</t>
  </si>
  <si>
    <t>testparam[1]</t>
  </si>
  <si>
    <t>testparam[2]</t>
  </si>
  <si>
    <t>testparam[3]</t>
  </si>
  <si>
    <t>testparam[4]</t>
  </si>
  <si>
    <t>testparam[5]</t>
  </si>
  <si>
    <t>Seleccione un evaluador | Select one evaluator</t>
  </si>
  <si>
    <t>Seleccione un evaluador no seleccionado en otro testparam| Select one evaluator non-selected in other testparam row</t>
  </si>
  <si>
    <t>testparam3[1]</t>
  </si>
  <si>
    <t>testparam3[2]</t>
  </si>
  <si>
    <t>testparam3[3]</t>
  </si>
  <si>
    <t>testparam3[4]</t>
  </si>
  <si>
    <t>testparam3[5]</t>
  </si>
  <si>
    <t>Seleccione un evaluador no seleccionado en otro testparam3| Select one evaluator non-selected in other testparam3 row</t>
  </si>
  <si>
    <t>RFopt</t>
  </si>
  <si>
    <t>distdup</t>
  </si>
  <si>
    <t>número (por defecto 0) | number (0 by default)</t>
  </si>
  <si>
    <t>gcm</t>
  </si>
  <si>
    <t>rcp</t>
  </si>
  <si>
    <t>proy</t>
  </si>
  <si>
    <t>Seleccione un modelo global climático de futuro | Select a global climate model for future bioclimatic conditions</t>
  </si>
  <si>
    <t>Seleccione un periodo de proyección para datos bioclimáticos (año 2050 = 50, 2070 = 70) | Select one time period for projected bioclimatic data (2050 = 50, 2070 = 70)</t>
  </si>
  <si>
    <t>variabv[11]</t>
  </si>
  <si>
    <t>variabv[12]</t>
  </si>
  <si>
    <t>variabv[13]</t>
  </si>
  <si>
    <t>variabv[14]</t>
  </si>
  <si>
    <t>variabv[15]</t>
  </si>
  <si>
    <t>variabv[16]</t>
  </si>
  <si>
    <t>variabv[17]</t>
  </si>
  <si>
    <t>variabv[18]</t>
  </si>
  <si>
    <t>variabv[19]</t>
  </si>
  <si>
    <t>variabv[20]</t>
  </si>
  <si>
    <t>Seleccione una variable ecogeográfica (no seleccionada en otros variabv) a ser utilizada para modelizar (puede dejar esta celda en blanco si no desea seleccionar más variables) | Select one variable (not selected in other variabv) to be used for modeling (you can leave this cell in blank if you do not wish to select more variables)</t>
  </si>
  <si>
    <t>campo numérico entre 0 y 0.5 | numeric field from 0 to 0.5</t>
  </si>
  <si>
    <t>Vel viento 1</t>
  </si>
  <si>
    <t>Vel viento 2</t>
  </si>
  <si>
    <t>Vel viento 3</t>
  </si>
  <si>
    <t>Vel viento 4</t>
  </si>
  <si>
    <t>Vel viento 5</t>
  </si>
  <si>
    <t>Vel viento 6</t>
  </si>
  <si>
    <t>Vel viento 7</t>
  </si>
  <si>
    <t>Vel viento 8</t>
  </si>
  <si>
    <t>Vel viento 9</t>
  </si>
  <si>
    <t>Vel viento 10</t>
  </si>
  <si>
    <t>Vel viento 11</t>
  </si>
  <si>
    <t>Vel viento 12</t>
  </si>
  <si>
    <t>Rad solar 2</t>
  </si>
  <si>
    <t>Rad solar 3</t>
  </si>
  <si>
    <t>Rad solar 4</t>
  </si>
  <si>
    <t>Rad solar 5</t>
  </si>
  <si>
    <t>Rad solar 6</t>
  </si>
  <si>
    <t>Rad solar 7</t>
  </si>
  <si>
    <t>Rad solar 8</t>
  </si>
  <si>
    <t>Rad solar 9</t>
  </si>
  <si>
    <t>Rad solar 10</t>
  </si>
  <si>
    <t>Rad solar 11</t>
  </si>
  <si>
    <t>Rad solar 12</t>
  </si>
  <si>
    <t>convexhull</t>
  </si>
  <si>
    <t>wind_1</t>
  </si>
  <si>
    <t>wind_2</t>
  </si>
  <si>
    <t>wind_3</t>
  </si>
  <si>
    <t>wind_4</t>
  </si>
  <si>
    <t>wind_5</t>
  </si>
  <si>
    <t>wind_6</t>
  </si>
  <si>
    <t>wind_7</t>
  </si>
  <si>
    <t>wind_8</t>
  </si>
  <si>
    <t>wind_9</t>
  </si>
  <si>
    <t>wind_10</t>
  </si>
  <si>
    <t>wind_11</t>
  </si>
  <si>
    <t>wind_12</t>
  </si>
  <si>
    <t>Vap press 1</t>
  </si>
  <si>
    <t>Vap press 2</t>
  </si>
  <si>
    <t>Vap press 3</t>
  </si>
  <si>
    <t>Vap press 4</t>
  </si>
  <si>
    <t>Vap press 5</t>
  </si>
  <si>
    <t>Vap press 6</t>
  </si>
  <si>
    <t>Vap press 7</t>
  </si>
  <si>
    <t>Vap press 8</t>
  </si>
  <si>
    <t>Vap press 9</t>
  </si>
  <si>
    <t>Vap press 10</t>
  </si>
  <si>
    <t>Vap press 11</t>
  </si>
  <si>
    <t>Vap press 12</t>
  </si>
  <si>
    <t>t_avail water cont1</t>
  </si>
  <si>
    <t>s_avail water cont1</t>
  </si>
  <si>
    <t>t_avail water cont2</t>
  </si>
  <si>
    <t>s_avail water cont2</t>
  </si>
  <si>
    <t>t_avail water cont3</t>
  </si>
  <si>
    <t>s_avail water cont3</t>
  </si>
  <si>
    <t>t_sat water cont</t>
  </si>
  <si>
    <t>s_sat water cont</t>
  </si>
  <si>
    <t>depth to rock</t>
  </si>
  <si>
    <t>r horizon</t>
  </si>
  <si>
    <t>t_bulk density</t>
  </si>
  <si>
    <t>s_bulk density</t>
  </si>
  <si>
    <t>t_cat exchange cap</t>
  </si>
  <si>
    <t>s_cat exchange cap</t>
  </si>
  <si>
    <t>t_clay content</t>
  </si>
  <si>
    <t>s_clay content</t>
  </si>
  <si>
    <t>t_coarse fragment</t>
  </si>
  <si>
    <t>s_coarse fragment</t>
  </si>
  <si>
    <t>t_soil organ carb dens</t>
  </si>
  <si>
    <t>s_soil organ carb dens</t>
  </si>
  <si>
    <t>t_organ carb stock</t>
  </si>
  <si>
    <t>s_organ carb stock</t>
  </si>
  <si>
    <t>t_organ carb content</t>
  </si>
  <si>
    <t>s_organ carb content</t>
  </si>
  <si>
    <t>t_ph in h2o</t>
  </si>
  <si>
    <t>s_ph in h2o</t>
  </si>
  <si>
    <t>t_ph in kcl</t>
  </si>
  <si>
    <t>s_ph in kcl</t>
  </si>
  <si>
    <t>sodicity</t>
  </si>
  <si>
    <t>t_silt content</t>
  </si>
  <si>
    <t>s_silt content</t>
  </si>
  <si>
    <t>t_sand content</t>
  </si>
  <si>
    <t>s_sand content</t>
  </si>
  <si>
    <t>t_avail water cap</t>
  </si>
  <si>
    <t>s_avail water cap</t>
  </si>
  <si>
    <t>Presion de vapor 1</t>
  </si>
  <si>
    <t>vapr_1</t>
  </si>
  <si>
    <t>Presion de vapor de enero</t>
  </si>
  <si>
    <t>kPa</t>
  </si>
  <si>
    <t>Worldclim2</t>
  </si>
  <si>
    <t>Bioclimatica</t>
  </si>
  <si>
    <t>Presion de vapor 2</t>
  </si>
  <si>
    <t>vapr_2</t>
  </si>
  <si>
    <t>Presion de vapor de febrero</t>
  </si>
  <si>
    <t>Presion de vapor 3</t>
  </si>
  <si>
    <t>vapr_3</t>
  </si>
  <si>
    <t>Presion de vapor de marzo</t>
  </si>
  <si>
    <t>Presion de vapor 4</t>
  </si>
  <si>
    <t>vapr_4</t>
  </si>
  <si>
    <t>Presion de vapor de abril</t>
  </si>
  <si>
    <t>Presion de vapor 5</t>
  </si>
  <si>
    <t>vapr_5</t>
  </si>
  <si>
    <t>Presion de vapor de mayo</t>
  </si>
  <si>
    <t>Presion de vapor 6</t>
  </si>
  <si>
    <t>vapr_6</t>
  </si>
  <si>
    <t>Presion de vapor de junio</t>
  </si>
  <si>
    <t>Presion de vapor 7</t>
  </si>
  <si>
    <t>vapr_7</t>
  </si>
  <si>
    <t>Presion de vapor de julio</t>
  </si>
  <si>
    <t>Presion de vapor 8</t>
  </si>
  <si>
    <t>vapr_8</t>
  </si>
  <si>
    <t>Presion de vapor de agosto</t>
  </si>
  <si>
    <t>Presion de vapor 9</t>
  </si>
  <si>
    <t>vapr_9</t>
  </si>
  <si>
    <t>Presion de vapor de septiembre</t>
  </si>
  <si>
    <t>Presion de vapor 10</t>
  </si>
  <si>
    <t>vapr_10</t>
  </si>
  <si>
    <t>Presion de vapor de octubre</t>
  </si>
  <si>
    <t>Presion de vapor 11</t>
  </si>
  <si>
    <t>vapr_11</t>
  </si>
  <si>
    <t>Presion de vapor de noviembre</t>
  </si>
  <si>
    <t>Presion de vapor 12</t>
  </si>
  <si>
    <t>vapr_12</t>
  </si>
  <si>
    <t>Presion de vapor de diciembre</t>
  </si>
  <si>
    <t>Presion de vapor anual</t>
  </si>
  <si>
    <t>vapr_annual</t>
  </si>
  <si>
    <t>Presion de vapor promedio anual</t>
  </si>
  <si>
    <t>Velocidad viento 1</t>
  </si>
  <si>
    <t>Velocidad viento enero</t>
  </si>
  <si>
    <t>ms-1</t>
  </si>
  <si>
    <t>Geofisica</t>
  </si>
  <si>
    <t>Velocidad viento 2</t>
  </si>
  <si>
    <t>Velocidad viento febrero</t>
  </si>
  <si>
    <t>Velocidad viento 3</t>
  </si>
  <si>
    <t>Velocidad viento marzo</t>
  </si>
  <si>
    <t>Velocidad viento 4</t>
  </si>
  <si>
    <t>Velocidad viento abril</t>
  </si>
  <si>
    <t>Velocidad viento 5</t>
  </si>
  <si>
    <t>Velocidad viento mayo</t>
  </si>
  <si>
    <t>Velocidad viento 6</t>
  </si>
  <si>
    <t>Velocidad viento junio</t>
  </si>
  <si>
    <t>Velocidad viento 7</t>
  </si>
  <si>
    <t>Velocidad viento julio</t>
  </si>
  <si>
    <t>Velocidad viento 8</t>
  </si>
  <si>
    <t>Velocidad viento agosto</t>
  </si>
  <si>
    <t>Velocidad viento 9</t>
  </si>
  <si>
    <t>Velocidad viento septiembre</t>
  </si>
  <si>
    <t>Velocidad viento 10</t>
  </si>
  <si>
    <t>Velocidad viento octubre</t>
  </si>
  <si>
    <t>Velocidad viento 11</t>
  </si>
  <si>
    <t>Velocidad viento noviembre</t>
  </si>
  <si>
    <t>Velocidad viento 12</t>
  </si>
  <si>
    <t>Velocidad viento diciembre</t>
  </si>
  <si>
    <t>Velocidad viento anual</t>
  </si>
  <si>
    <t>wind_annual</t>
  </si>
  <si>
    <t>Vel viento anual</t>
  </si>
  <si>
    <t>Radiacion solar 1</t>
  </si>
  <si>
    <t>srad_1</t>
  </si>
  <si>
    <t>Radiacion solar enero</t>
  </si>
  <si>
    <t xml:space="preserve">Rad solar 1 </t>
  </si>
  <si>
    <t>MJ m-2</t>
  </si>
  <si>
    <t>Radiacion solar 2</t>
  </si>
  <si>
    <t>srad_2</t>
  </si>
  <si>
    <t>Radiacion solar febrero</t>
  </si>
  <si>
    <t>Radiacion solar 3</t>
  </si>
  <si>
    <t>srad_3</t>
  </si>
  <si>
    <t>Radiacion solar marzo</t>
  </si>
  <si>
    <t>Radiacion solar 4</t>
  </si>
  <si>
    <t>srad_4</t>
  </si>
  <si>
    <t>Radiacion solar abril</t>
  </si>
  <si>
    <t>Radiacion solar 5</t>
  </si>
  <si>
    <t>srad_5</t>
  </si>
  <si>
    <t>Radiacion solar mayo</t>
  </si>
  <si>
    <t>Radiacion solar 6</t>
  </si>
  <si>
    <t>srad_6</t>
  </si>
  <si>
    <t>Radiacion solar junio</t>
  </si>
  <si>
    <t>Radiacion solar 7</t>
  </si>
  <si>
    <t>srad_7</t>
  </si>
  <si>
    <t>Radiacion solar julio</t>
  </si>
  <si>
    <t>Radiacion solar 8</t>
  </si>
  <si>
    <t>srad_8</t>
  </si>
  <si>
    <t>Radiacion solar agosto</t>
  </si>
  <si>
    <t>Radiacion solar 9</t>
  </si>
  <si>
    <t>srad_9</t>
  </si>
  <si>
    <t>Radiacion solar septiembre</t>
  </si>
  <si>
    <t>Radiacion solar 10</t>
  </si>
  <si>
    <t>srad_10</t>
  </si>
  <si>
    <t>Radiacion solar octubre</t>
  </si>
  <si>
    <t>Radiacion solar 11</t>
  </si>
  <si>
    <t>srad_11</t>
  </si>
  <si>
    <t>Radiacion solar noviembre</t>
  </si>
  <si>
    <t>Radiacion solar 12</t>
  </si>
  <si>
    <t>srad_12</t>
  </si>
  <si>
    <t>Radiacion solar diciembre</t>
  </si>
  <si>
    <t>Radiacion solar anual</t>
  </si>
  <si>
    <t>srad_annual</t>
  </si>
  <si>
    <t>Rad solar anual</t>
  </si>
  <si>
    <t>Avail soil water cap h1 top</t>
  </si>
  <si>
    <t>t_awc1</t>
  </si>
  <si>
    <t>Available soil water capacity (volumetric fraction) for h1 - topsoil</t>
  </si>
  <si>
    <t>Soilgrids</t>
  </si>
  <si>
    <t>Edafica</t>
  </si>
  <si>
    <t>https://soilgrids.org</t>
  </si>
  <si>
    <t>Avail soil water cap h1 sub</t>
  </si>
  <si>
    <t>s_awc1</t>
  </si>
  <si>
    <t>Available soil water capacity (volumetric fraction) for h1 - subsoil</t>
  </si>
  <si>
    <t>Avail soil water cap h2 top</t>
  </si>
  <si>
    <t>t_awc2</t>
  </si>
  <si>
    <t>Available soil water capacity (volumetric fraction) for h2 - topsoil</t>
  </si>
  <si>
    <t>Avail soil water cap h2 sub</t>
  </si>
  <si>
    <t>s_awc2</t>
  </si>
  <si>
    <t>Available soil water capacity (volumetric fraction) for h2 - subsoil</t>
  </si>
  <si>
    <t>Avail soil water cap h3 top</t>
  </si>
  <si>
    <t>t_awc3</t>
  </si>
  <si>
    <t>Available soil water capacity (volumetric fraction) for h3 - topsoil</t>
  </si>
  <si>
    <t>Avail soil water cap h3 sub</t>
  </si>
  <si>
    <t>s_awc3</t>
  </si>
  <si>
    <t>Available soil water capacity (volumetric fraction) for h3 - subsoil</t>
  </si>
  <si>
    <t>Sat water cont top</t>
  </si>
  <si>
    <t>t_awcts</t>
  </si>
  <si>
    <t>Saturated water content (volumetric fraction) for tS - topsoil</t>
  </si>
  <si>
    <t>Sat water cont sub</t>
  </si>
  <si>
    <t>s_awcts</t>
  </si>
  <si>
    <t>Saturated water content (volumetric fraction) for tS - subsoil</t>
  </si>
  <si>
    <t>Depth to bedrock</t>
  </si>
  <si>
    <t>depth_rock</t>
  </si>
  <si>
    <t>Depth to bedrock (R horizon) up to 200 cm</t>
  </si>
  <si>
    <t xml:space="preserve">cm </t>
  </si>
  <si>
    <t>R horizon</t>
  </si>
  <si>
    <t>r_horizon</t>
  </si>
  <si>
    <t>Probability of occurrence of R horizon</t>
  </si>
  <si>
    <t>Bulk density top</t>
  </si>
  <si>
    <t>t_bulk_dens</t>
  </si>
  <si>
    <t>Bulk density (fine earth) in kg / cubic-meter - topsoil</t>
  </si>
  <si>
    <t>kg / cubic-m</t>
  </si>
  <si>
    <t>Bulk density sub</t>
  </si>
  <si>
    <t>s_bulk_dens</t>
  </si>
  <si>
    <t>Bulk density (fine earth) in kg / cubic-meter - subsoil</t>
  </si>
  <si>
    <t>Cation exchange cap top</t>
  </si>
  <si>
    <t>t_cecsol</t>
  </si>
  <si>
    <t>Cation exchange capacity of soil in cmolc/kg - topsoil</t>
  </si>
  <si>
    <t>cmol / kg</t>
  </si>
  <si>
    <t>Cation exchange cap sub</t>
  </si>
  <si>
    <t>s_cecsol</t>
  </si>
  <si>
    <t>Cation exchange capacity of soil in cmolc/kg - subsoil</t>
  </si>
  <si>
    <t>Clay content top</t>
  </si>
  <si>
    <t>t_clay_cont</t>
  </si>
  <si>
    <t>Clay content (0-2 micro meter) mass fraction in % - topsoil</t>
  </si>
  <si>
    <t>Clay content sub</t>
  </si>
  <si>
    <t>s_clay_cont</t>
  </si>
  <si>
    <t>Clay content (0-2 micro meter) mass fraction in % - subsoil</t>
  </si>
  <si>
    <t>Coarse fragments top</t>
  </si>
  <si>
    <t>t_coarse_frag</t>
  </si>
  <si>
    <t>Coarse fragments volumetric in % - topsoil</t>
  </si>
  <si>
    <t>Coarse fragments sub</t>
  </si>
  <si>
    <t>s_coarse_frag</t>
  </si>
  <si>
    <t>Coarse fragments volumetric in % - subsoil</t>
  </si>
  <si>
    <t>Organic carbon dens top</t>
  </si>
  <si>
    <t>t_oc_dens</t>
  </si>
  <si>
    <t>Soil organic carbon density in kg per cubic-m - topsoil</t>
  </si>
  <si>
    <t>Organic carbon dens sub</t>
  </si>
  <si>
    <t>s_oc_dens</t>
  </si>
  <si>
    <t>Soil organic carbon density in kg per cubic-m - subsoil</t>
  </si>
  <si>
    <t>Organic carbon stock top</t>
  </si>
  <si>
    <t>t_oc_stock</t>
  </si>
  <si>
    <t>Soil organic carbon stock in tons per ha - topsoil</t>
  </si>
  <si>
    <t>tonnes / ha</t>
  </si>
  <si>
    <t>Organic carbon stock sub</t>
  </si>
  <si>
    <t>s_oc_stock</t>
  </si>
  <si>
    <t>Soil organic carbon stock in tons per ha - subsoil</t>
  </si>
  <si>
    <t>Organic carbon content top</t>
  </si>
  <si>
    <t>t_oc_cont</t>
  </si>
  <si>
    <t>Soil organic carbon content (fine earth fraction) in g per kg</t>
  </si>
  <si>
    <t>g / kg</t>
  </si>
  <si>
    <t>Organic carbon content sub</t>
  </si>
  <si>
    <t>s_oc_cont</t>
  </si>
  <si>
    <t>Soil pH H2O top</t>
  </si>
  <si>
    <t>t_ph_hox</t>
  </si>
  <si>
    <t>Soil pH x 10 in H2O topsoil</t>
  </si>
  <si>
    <t>index*10</t>
  </si>
  <si>
    <t>Soil pH H2O sub</t>
  </si>
  <si>
    <t>s_ph_hox</t>
  </si>
  <si>
    <t>Soil pH x 10 in H2O subsoil</t>
  </si>
  <si>
    <t>Soil pH KCl top</t>
  </si>
  <si>
    <t>t_ph_kcl</t>
  </si>
  <si>
    <t>Soil pH x 10 in KCl topsoil</t>
  </si>
  <si>
    <t>Soil pH KCl sub</t>
  </si>
  <si>
    <t>s_ph_kcl</t>
  </si>
  <si>
    <t>Soil pH x 10 in KCl subsoil</t>
  </si>
  <si>
    <t>Sodic soil grade</t>
  </si>
  <si>
    <t>grade</t>
  </si>
  <si>
    <t>Silt content top</t>
  </si>
  <si>
    <t>t_silt_cont</t>
  </si>
  <si>
    <t>Silt content (2-50 micro meter) mass fraction in % - topsoil</t>
  </si>
  <si>
    <t>Silt content sub</t>
  </si>
  <si>
    <t>s_silt_cont</t>
  </si>
  <si>
    <t>Silt content (2-50 micro meter) mass fraction in % - subsoil</t>
  </si>
  <si>
    <t>Sand content top</t>
  </si>
  <si>
    <t>t_sand_cont</t>
  </si>
  <si>
    <t>Sand content (50-2000 micro meter) mass fraction in % - topsoil</t>
  </si>
  <si>
    <t>Sand content sub</t>
  </si>
  <si>
    <t>s_sand_cont</t>
  </si>
  <si>
    <t>Sand content (50-2000 micro meter) mass fraction in % - subsoil</t>
  </si>
  <si>
    <t>Avail soil water cap top</t>
  </si>
  <si>
    <t>t_soilwater_cap</t>
  </si>
  <si>
    <t>Available soil water capacity (volumetric fraction) until wilting point - topsoil</t>
  </si>
  <si>
    <t>Avail soil water cap sub</t>
  </si>
  <si>
    <t>s_soilwater_cap</t>
  </si>
  <si>
    <t>Available soil water capacity (volumetric fraction) until wilting point - subsoil</t>
  </si>
  <si>
    <t>Vap press anual</t>
  </si>
  <si>
    <t>BCC-CSM2-MR</t>
  </si>
  <si>
    <t>CNRM-CM6-1</t>
  </si>
  <si>
    <t>CNRM-ESM2-1</t>
  </si>
  <si>
    <t>CanESM5</t>
  </si>
  <si>
    <t>GFDL-ESM4</t>
  </si>
  <si>
    <t>IPSL-CM6A-LR</t>
  </si>
  <si>
    <t>MIROC-ES2L</t>
  </si>
  <si>
    <t>MIROC6</t>
  </si>
  <si>
    <t>Notes</t>
  </si>
  <si>
    <t>Parameter</t>
  </si>
  <si>
    <t>Seleccione una opción (necesariamente una de las seleccionadas en proytest1 o proytest2)| Select one option (it must be selected previously in proytest1 or proytest2)</t>
  </si>
  <si>
    <t>testNAs</t>
  </si>
  <si>
    <t>Is this parameter required?</t>
  </si>
  <si>
    <t>Value (indicate here your option)</t>
  </si>
  <si>
    <t>C:/CAPFITOGEN2</t>
  </si>
  <si>
    <t>PasaporteOriginalEvaluadoGEOQUAL.txt</t>
  </si>
  <si>
    <t>Seleccione un escenario SSP de emisiones | Select one Shared Socioeconomic Pathway</t>
  </si>
  <si>
    <t>gcm/ssp</t>
  </si>
  <si>
    <t>Arachis</t>
  </si>
  <si>
    <t>hypogaea</t>
  </si>
  <si>
    <t>mapa_elc_ecuador.grd</t>
  </si>
  <si>
    <t>Estadist_ELC_ecuador.txt</t>
  </si>
  <si>
    <t>GLM1.txt</t>
  </si>
  <si>
    <t>GBM1.txt</t>
  </si>
  <si>
    <t>GAM1.txt</t>
  </si>
  <si>
    <t>CTA1.txt</t>
  </si>
  <si>
    <t>ANN1.txt</t>
  </si>
  <si>
    <t>SRE1.txt</t>
  </si>
  <si>
    <t>FDA1.txt</t>
  </si>
  <si>
    <t>MARS1.txt</t>
  </si>
  <si>
    <t>RF1.txt</t>
  </si>
  <si>
    <t>MAXENT1.txt</t>
  </si>
  <si>
    <t>C:/CAPFITOGEN2/ResultadosFarmersPride/Modela</t>
  </si>
  <si>
    <t>disabled</t>
  </si>
  <si>
    <t>Not required</t>
  </si>
  <si>
    <t xml:space="preserve">Parameter related to dismo, which is disabled from CAPFITOGEN3 onwards </t>
  </si>
  <si>
    <t>Please, leave biomod option selected, dismo option is disabled from CAPFITOGEN3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</si>
</sst>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CCFF"/>
        <bgColor indexed="64"/>
      </patternFill>
    </fill>
    <fill>
      <patternFill patternType="solid">
        <fgColor rgb="FF99FFCC"/>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rgb="FF3BFF9D"/>
        <bgColor indexed="64"/>
      </patternFill>
    </fill>
    <fill>
      <patternFill patternType="solid">
        <fgColor theme="5" tint="0.59999389629810485"/>
        <bgColor indexed="64"/>
      </patternFill>
    </fill>
    <fill>
      <patternFill patternType="solid">
        <fgColor rgb="FFD17B79"/>
        <bgColor indexed="64"/>
      </patternFill>
    </fill>
    <fill>
      <patternFill patternType="solid">
        <fgColor rgb="FFFF9B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cellStyleXfs>
  <cellXfs count="29">
    <xf numFmtId="0" fontId="0" fillId="0" borderId="0" xfId="0"/>
    <xf numFmtId="0" fontId="17" fillId="33" borderId="0" xfId="0" applyFont="1" applyFill="1"/>
    <xf numFmtId="0" fontId="18" fillId="0" borderId="0" xfId="42"/>
    <xf numFmtId="0" fontId="19" fillId="0" borderId="0" xfId="43"/>
    <xf numFmtId="0" fontId="0" fillId="0" borderId="0" xfId="0" quotePrefix="1"/>
    <xf numFmtId="0" fontId="0" fillId="0" borderId="0" xfId="0" applyAlignment="1"/>
    <xf numFmtId="0" fontId="0" fillId="34" borderId="0" xfId="0" applyFill="1"/>
    <xf numFmtId="0" fontId="0" fillId="35" borderId="0" xfId="0" applyFill="1"/>
    <xf numFmtId="0" fontId="0" fillId="36" borderId="0" xfId="0" applyFill="1"/>
    <xf numFmtId="0" fontId="0" fillId="37" borderId="0" xfId="0" quotePrefix="1" applyFill="1"/>
    <xf numFmtId="0" fontId="0" fillId="0"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49" fontId="0" fillId="0" borderId="0" xfId="0" applyNumberFormat="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0" borderId="10" xfId="0" applyBorder="1"/>
    <xf numFmtId="0" fontId="16"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2000000}"/>
    <cellStyle name="Normal 3" xfId="43" xr:uid="{00000000-0005-0000-0000-000023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BFF"/>
      <color rgb="FFD17B79"/>
      <color rgb="FF3BFF9D"/>
      <color rgb="FF99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topLeftCell="A46" workbookViewId="0">
      <selection activeCell="D53" sqref="D53"/>
    </sheetView>
  </sheetViews>
  <sheetFormatPr defaultColWidth="11.5546875" defaultRowHeight="14.4" x14ac:dyDescent="0.3"/>
  <cols>
    <col min="1" max="1" width="20.6640625" customWidth="1"/>
    <col min="2" max="2" width="31.88671875" customWidth="1"/>
    <col min="3" max="3" width="75.88671875" bestFit="1" customWidth="1"/>
    <col min="4" max="4" width="100.6640625" customWidth="1"/>
  </cols>
  <sheetData>
    <row r="1" spans="1:4" x14ac:dyDescent="0.3">
      <c r="A1" s="1" t="s">
        <v>1242</v>
      </c>
      <c r="B1" s="1" t="s">
        <v>1246</v>
      </c>
      <c r="C1" s="1" t="s">
        <v>1245</v>
      </c>
      <c r="D1" s="1" t="s">
        <v>1241</v>
      </c>
    </row>
    <row r="2" spans="1:4" x14ac:dyDescent="0.3">
      <c r="A2" t="s">
        <v>0</v>
      </c>
      <c r="B2" t="s">
        <v>1247</v>
      </c>
      <c r="C2" t="str">
        <f>IF(B2="","ruta value is required","Ok")</f>
        <v>Ok</v>
      </c>
      <c r="D2" t="s">
        <v>848</v>
      </c>
    </row>
    <row r="3" spans="1:4" x14ac:dyDescent="0.3">
      <c r="A3" t="s">
        <v>3</v>
      </c>
      <c r="B3" t="s">
        <v>690</v>
      </c>
      <c r="C3" t="str">
        <f>IF(B3="","pais value is required","Ok")</f>
        <v>Ok</v>
      </c>
      <c r="D3" t="s">
        <v>54</v>
      </c>
    </row>
    <row r="4" spans="1:4" x14ac:dyDescent="0.3">
      <c r="A4" t="s">
        <v>4</v>
      </c>
      <c r="B4" t="s">
        <v>1248</v>
      </c>
      <c r="C4" t="str">
        <f>IF(B4="","pasaporte value is required","Ok")</f>
        <v>Ok</v>
      </c>
      <c r="D4" t="s">
        <v>850</v>
      </c>
    </row>
    <row r="5" spans="1:4" x14ac:dyDescent="0.3">
      <c r="A5" s="19" t="s">
        <v>2</v>
      </c>
      <c r="B5" t="s">
        <v>1</v>
      </c>
      <c r="C5" t="str">
        <f>IF(B5="","geoqual value is required","Ok")</f>
        <v>Ok</v>
      </c>
      <c r="D5" t="s">
        <v>56</v>
      </c>
    </row>
    <row r="6" spans="1:4" x14ac:dyDescent="0.3">
      <c r="A6" s="6" t="s">
        <v>5</v>
      </c>
      <c r="B6">
        <v>50</v>
      </c>
      <c r="C6" t="str">
        <f>IF(AND(B5="TRUE",B5=""),"totalqual value must be provideded","Ok")</f>
        <v>Ok</v>
      </c>
      <c r="D6" t="s">
        <v>55</v>
      </c>
    </row>
    <row r="7" spans="1:4" x14ac:dyDescent="0.3">
      <c r="A7" s="10" t="s">
        <v>906</v>
      </c>
      <c r="B7">
        <v>1</v>
      </c>
      <c r="C7" t="str">
        <f>IF(B7="","distdup value must be provided. Zero (0) is the default","Ok")</f>
        <v>Ok</v>
      </c>
      <c r="D7" t="s">
        <v>907</v>
      </c>
    </row>
    <row r="8" spans="1:4" x14ac:dyDescent="0.3">
      <c r="A8" s="21" t="s">
        <v>6</v>
      </c>
      <c r="B8" t="s">
        <v>642</v>
      </c>
      <c r="C8" t="str">
        <f>IF(B8="","temp value is required","Ok")</f>
        <v>Ok</v>
      </c>
      <c r="D8" t="s">
        <v>57</v>
      </c>
    </row>
    <row r="9" spans="1:4" x14ac:dyDescent="0.3">
      <c r="A9" s="20" t="s">
        <v>1250</v>
      </c>
      <c r="C9" t="str">
        <f>IF(OR(B8="future",B8&lt;&gt;""),"gcm (CIMP6) cell must be filled","gcm (CIMP6) cell value is not necessary if temp is present")</f>
        <v>gcm (CIMP6) cell must be filled</v>
      </c>
      <c r="D9" t="s">
        <v>911</v>
      </c>
    </row>
    <row r="10" spans="1:4" x14ac:dyDescent="0.3">
      <c r="A10" s="20" t="s">
        <v>909</v>
      </c>
      <c r="C10" t="str">
        <f>IF(OR(B8="future",B8&lt;&gt;""),"rcp/ssp value must be provided","rcp value is not necessary if temp is present")</f>
        <v>rcp/ssp value must be provided</v>
      </c>
      <c r="D10" t="s">
        <v>1249</v>
      </c>
    </row>
    <row r="11" spans="1:4" x14ac:dyDescent="0.3">
      <c r="A11" s="20" t="s">
        <v>910</v>
      </c>
      <c r="C11" t="str">
        <f>IF(OR(B8="future",B8&lt;&gt;""),"proy value must be provided","proy value is not necessary if temp is present")</f>
        <v>proy value must be provided</v>
      </c>
      <c r="D11" t="s">
        <v>912</v>
      </c>
    </row>
    <row r="12" spans="1:4" x14ac:dyDescent="0.3">
      <c r="A12" t="s">
        <v>7</v>
      </c>
      <c r="B12" t="s">
        <v>654</v>
      </c>
      <c r="C12" t="str">
        <f>IF(B12="","resol1 value is required","Ok")</f>
        <v>Ok</v>
      </c>
      <c r="D12" t="s">
        <v>57</v>
      </c>
    </row>
    <row r="13" spans="1:4" x14ac:dyDescent="0.3">
      <c r="A13" t="s">
        <v>855</v>
      </c>
      <c r="B13" s="4" t="s">
        <v>97</v>
      </c>
      <c r="C13" s="4" t="str">
        <f>IF(B13="","Please select one variable for variabv[1]","Ok")</f>
        <v>Ok</v>
      </c>
      <c r="D13" t="s">
        <v>866</v>
      </c>
    </row>
    <row r="14" spans="1:4" x14ac:dyDescent="0.3">
      <c r="A14" t="s">
        <v>856</v>
      </c>
      <c r="B14" s="4" t="s">
        <v>166</v>
      </c>
      <c r="C14" s="4" t="str">
        <f>IF(B14="","Please select one variable for variabv[2]","Ok")</f>
        <v>Ok</v>
      </c>
      <c r="D14" t="s">
        <v>923</v>
      </c>
    </row>
    <row r="15" spans="1:4" x14ac:dyDescent="0.3">
      <c r="A15" t="s">
        <v>857</v>
      </c>
      <c r="B15" s="4" t="s">
        <v>117</v>
      </c>
      <c r="C15" s="4" t="str">
        <f>IF(B15="","Please select one variable for variabv[3]","Ok")</f>
        <v>Ok</v>
      </c>
      <c r="D15" t="s">
        <v>923</v>
      </c>
    </row>
    <row r="16" spans="1:4" x14ac:dyDescent="0.3">
      <c r="A16" t="s">
        <v>858</v>
      </c>
      <c r="B16" s="4" t="s">
        <v>506</v>
      </c>
      <c r="C16" s="4" t="str">
        <f>IF(B16="","Select additional variable for variabv[4] if necessary","Ok")</f>
        <v>Ok</v>
      </c>
      <c r="D16" t="s">
        <v>923</v>
      </c>
    </row>
    <row r="17" spans="1:4" x14ac:dyDescent="0.3">
      <c r="A17" t="s">
        <v>859</v>
      </c>
      <c r="B17" s="4" t="s">
        <v>1117</v>
      </c>
      <c r="C17" s="4" t="str">
        <f>IF(B17="","Select additional variable for variabv[5] if necessary","Ok")</f>
        <v>Ok</v>
      </c>
      <c r="D17" t="s">
        <v>923</v>
      </c>
    </row>
    <row r="18" spans="1:4" x14ac:dyDescent="0.3">
      <c r="A18" t="s">
        <v>860</v>
      </c>
      <c r="B18" s="4" t="s">
        <v>1193</v>
      </c>
      <c r="C18" s="4" t="str">
        <f>IF(B18="","Select additional variable for variabv[6] if necessary","Ok")</f>
        <v>Ok</v>
      </c>
      <c r="D18" t="s">
        <v>923</v>
      </c>
    </row>
    <row r="19" spans="1:4" x14ac:dyDescent="0.3">
      <c r="A19" t="s">
        <v>861</v>
      </c>
      <c r="B19" s="4"/>
      <c r="C19" s="4" t="str">
        <f>IF(B19="","Select additional variable for variabv[7] if necessary","Ok")</f>
        <v>Select additional variable for variabv[7] if necessary</v>
      </c>
      <c r="D19" t="s">
        <v>923</v>
      </c>
    </row>
    <row r="20" spans="1:4" x14ac:dyDescent="0.3">
      <c r="A20" t="s">
        <v>862</v>
      </c>
      <c r="B20" s="4"/>
      <c r="C20" s="4" t="str">
        <f>IF(B20="","Select additional variable for variabv[8] if necessary","Ok")</f>
        <v>Select additional variable for variabv[8] if necessary</v>
      </c>
      <c r="D20" t="s">
        <v>923</v>
      </c>
    </row>
    <row r="21" spans="1:4" x14ac:dyDescent="0.3">
      <c r="A21" t="s">
        <v>863</v>
      </c>
      <c r="B21" s="4"/>
      <c r="C21" s="4" t="str">
        <f>IF(B21="","Select additional variable for variabv[9] if necessary","Ok")</f>
        <v>Select additional variable for variabv[9] if necessary</v>
      </c>
      <c r="D21" t="s">
        <v>923</v>
      </c>
    </row>
    <row r="22" spans="1:4" x14ac:dyDescent="0.3">
      <c r="A22" t="s">
        <v>864</v>
      </c>
      <c r="B22" s="4"/>
      <c r="C22" s="4" t="str">
        <f>IF(B22="","Select additional variable for variabv[10] if necessary","Ok")</f>
        <v>Select additional variable for variabv[10] if necessary</v>
      </c>
      <c r="D22" t="s">
        <v>923</v>
      </c>
    </row>
    <row r="23" spans="1:4" x14ac:dyDescent="0.3">
      <c r="A23" t="s">
        <v>913</v>
      </c>
      <c r="B23" s="4"/>
      <c r="C23" s="4" t="str">
        <f>IF(B23="","Select additional variable for variabv[11] if necessary","Ok")</f>
        <v>Select additional variable for variabv[11] if necessary</v>
      </c>
      <c r="D23" t="s">
        <v>923</v>
      </c>
    </row>
    <row r="24" spans="1:4" x14ac:dyDescent="0.3">
      <c r="A24" t="s">
        <v>914</v>
      </c>
      <c r="B24" s="4"/>
      <c r="C24" s="4" t="str">
        <f>IF(B24="","Select additional variable for variabv[12] if necessary","Ok")</f>
        <v>Select additional variable for variabv[12] if necessary</v>
      </c>
      <c r="D24" t="s">
        <v>923</v>
      </c>
    </row>
    <row r="25" spans="1:4" x14ac:dyDescent="0.3">
      <c r="A25" t="s">
        <v>915</v>
      </c>
      <c r="B25" s="4"/>
      <c r="C25" s="4" t="str">
        <f>IF(B25="","Select additional variable for variabv[13] if necessary","Ok")</f>
        <v>Select additional variable for variabv[13] if necessary</v>
      </c>
      <c r="D25" t="s">
        <v>923</v>
      </c>
    </row>
    <row r="26" spans="1:4" x14ac:dyDescent="0.3">
      <c r="A26" t="s">
        <v>916</v>
      </c>
      <c r="B26" s="4"/>
      <c r="C26" s="4" t="str">
        <f>IF(B26="","Select additional variable for variabv[14] if necessary","Ok")</f>
        <v>Select additional variable for variabv[14] if necessary</v>
      </c>
      <c r="D26" t="s">
        <v>923</v>
      </c>
    </row>
    <row r="27" spans="1:4" x14ac:dyDescent="0.3">
      <c r="A27" t="s">
        <v>917</v>
      </c>
      <c r="B27" s="4"/>
      <c r="C27" s="4" t="str">
        <f>IF(B27="","Select additional variable for variabv[15] if necessary","Ok")</f>
        <v>Select additional variable for variabv[15] if necessary</v>
      </c>
      <c r="D27" t="s">
        <v>923</v>
      </c>
    </row>
    <row r="28" spans="1:4" x14ac:dyDescent="0.3">
      <c r="A28" t="s">
        <v>918</v>
      </c>
      <c r="B28" s="4"/>
      <c r="C28" s="4" t="str">
        <f>IF(B28="","Select additional variable for variabv[16] if necessary","Ok")</f>
        <v>Select additional variable for variabv[16] if necessary</v>
      </c>
      <c r="D28" t="s">
        <v>923</v>
      </c>
    </row>
    <row r="29" spans="1:4" x14ac:dyDescent="0.3">
      <c r="A29" t="s">
        <v>919</v>
      </c>
      <c r="B29" s="4"/>
      <c r="C29" s="4" t="str">
        <f>IF(B29="","Select additional variable for variabv[17] if necessary","Ok")</f>
        <v>Select additional variable for variabv[17] if necessary</v>
      </c>
      <c r="D29" t="s">
        <v>923</v>
      </c>
    </row>
    <row r="30" spans="1:4" x14ac:dyDescent="0.3">
      <c r="A30" t="s">
        <v>920</v>
      </c>
      <c r="B30" s="4"/>
      <c r="C30" s="4" t="str">
        <f>IF(B30="","Select additional variable for variabv[18] if necessary","Ok")</f>
        <v>Select additional variable for variabv[18] if necessary</v>
      </c>
      <c r="D30" t="s">
        <v>923</v>
      </c>
    </row>
    <row r="31" spans="1:4" x14ac:dyDescent="0.3">
      <c r="A31" t="s">
        <v>921</v>
      </c>
      <c r="B31" s="4"/>
      <c r="C31" s="4" t="str">
        <f>IF(B31="","Select additional variable for variabv[19] if necessary","Ok")</f>
        <v>Select additional variable for variabv[19] if necessary</v>
      </c>
      <c r="D31" t="s">
        <v>923</v>
      </c>
    </row>
    <row r="32" spans="1:4" x14ac:dyDescent="0.3">
      <c r="A32" t="s">
        <v>922</v>
      </c>
      <c r="B32" s="4"/>
      <c r="C32" s="4" t="str">
        <f>IF(B32="","Select additional variable for variabv[20] if necessary","Ok")</f>
        <v>Select additional variable for variabv[20] if necessary</v>
      </c>
      <c r="D32" t="s">
        <v>923</v>
      </c>
    </row>
    <row r="33" spans="1:4" x14ac:dyDescent="0.3">
      <c r="A33" t="s">
        <v>8</v>
      </c>
      <c r="C33" t="str">
        <f>IF(B33="","latitud (latitude) value is required","Ok")</f>
        <v>latitud (latitude) value is required</v>
      </c>
      <c r="D33" t="s">
        <v>56</v>
      </c>
    </row>
    <row r="34" spans="1:4" x14ac:dyDescent="0.3">
      <c r="A34" t="s">
        <v>9</v>
      </c>
      <c r="C34" t="str">
        <f>IF(B34="","longitud (longitude) value is required","Ok")</f>
        <v>longitud (longitude) value is required</v>
      </c>
      <c r="D34" t="s">
        <v>56</v>
      </c>
    </row>
    <row r="35" spans="1:4" x14ac:dyDescent="0.3">
      <c r="A35" t="s">
        <v>10</v>
      </c>
      <c r="B35" t="s">
        <v>1251</v>
      </c>
      <c r="C35" t="str">
        <f>IF(B35="","genero (genus) value is required","Ok")</f>
        <v>Ok</v>
      </c>
    </row>
    <row r="36" spans="1:4" x14ac:dyDescent="0.3">
      <c r="A36" t="s">
        <v>11</v>
      </c>
      <c r="B36" t="s">
        <v>1252</v>
      </c>
      <c r="C36" t="str">
        <f>IF(B36="","respecie (species) value is required","Ok")</f>
        <v>Ok</v>
      </c>
    </row>
    <row r="37" spans="1:4" x14ac:dyDescent="0.3">
      <c r="A37" s="22" t="s">
        <v>12</v>
      </c>
      <c r="B37" t="s">
        <v>644</v>
      </c>
      <c r="C37" t="str">
        <f>IF(B37="","ausencia (absence type) value is required","Ok")</f>
        <v>Ok</v>
      </c>
      <c r="D37" t="s">
        <v>57</v>
      </c>
    </row>
    <row r="38" spans="1:4" x14ac:dyDescent="0.3">
      <c r="A38" s="12" t="s">
        <v>13</v>
      </c>
      <c r="C38" t="str">
        <f>IF(OR(B37="TRUE",B37="absence"),"pasaporteb must be filled","pasaporteb value is not necessary")</f>
        <v>pasaporteb value is not necessary</v>
      </c>
      <c r="D38" t="s">
        <v>850</v>
      </c>
    </row>
    <row r="39" spans="1:4" x14ac:dyDescent="0.3">
      <c r="A39" s="12" t="s">
        <v>14</v>
      </c>
      <c r="C39" t="str">
        <f>IF(B37="abscence","Select figs = TRUE if FIGS analysis is the target","it is not necessary to fill this cell")</f>
        <v>it is not necessary to fill this cell</v>
      </c>
      <c r="D39" t="s">
        <v>56</v>
      </c>
    </row>
    <row r="40" spans="1:4" x14ac:dyDescent="0.3">
      <c r="A40" s="8" t="s">
        <v>15</v>
      </c>
      <c r="C40" t="str">
        <f>IF(B39="TRUE","pasaportec field must be filled","it is not necessary to fill this cell")</f>
        <v>it is not necessary to fill this cell</v>
      </c>
      <c r="D40" t="s">
        <v>850</v>
      </c>
    </row>
    <row r="41" spans="1:4" x14ac:dyDescent="0.3">
      <c r="A41" s="23" t="s">
        <v>16</v>
      </c>
      <c r="B41">
        <v>2</v>
      </c>
      <c r="C41" t="str">
        <f>IF(B37="pseudo absence","pareps value must be provided","it is not necesarry to fill this cell")</f>
        <v>pareps value must be provided</v>
      </c>
      <c r="D41" t="s">
        <v>58</v>
      </c>
    </row>
    <row r="42" spans="1:4" x14ac:dyDescent="0.3">
      <c r="A42" s="23" t="s">
        <v>17</v>
      </c>
      <c r="B42">
        <v>400</v>
      </c>
      <c r="C42" t="str">
        <f>IF(B37="pseudo absence","pansel value must be provided","it is not necesarry to fill this cell")</f>
        <v>pansel value must be provided</v>
      </c>
      <c r="D42" t="s">
        <v>58</v>
      </c>
    </row>
    <row r="43" spans="1:4" x14ac:dyDescent="0.3">
      <c r="A43" s="23" t="s">
        <v>18</v>
      </c>
      <c r="B43" t="s">
        <v>664</v>
      </c>
      <c r="C43" t="str">
        <f>IF(B37="pseudo absence","pastrat option must be selected","it is not necesarry to fill this cell")</f>
        <v>pastrat option must be selected</v>
      </c>
      <c r="D43" t="s">
        <v>57</v>
      </c>
    </row>
    <row r="44" spans="1:4" x14ac:dyDescent="0.3">
      <c r="A44" s="16" t="s">
        <v>19</v>
      </c>
      <c r="C44" t="str">
        <f>IF(B43="disk","padiskmin value must be provided","it is not necessary to fill this cell")</f>
        <v>it is not necessary to fill this cell</v>
      </c>
      <c r="D44" t="s">
        <v>58</v>
      </c>
    </row>
    <row r="45" spans="1:4" x14ac:dyDescent="0.3">
      <c r="A45" s="16" t="s">
        <v>20</v>
      </c>
      <c r="C45" t="str">
        <f>IF(B43="disk","padiskmax value must be provided","it is not necessary to fill this cell")</f>
        <v>it is not necessary to fill this cell</v>
      </c>
      <c r="D45" t="s">
        <v>58</v>
      </c>
    </row>
    <row r="46" spans="1:4" x14ac:dyDescent="0.3">
      <c r="A46" s="16" t="s">
        <v>21</v>
      </c>
      <c r="C46" t="str">
        <f>IF(B43="sre","pasreq value must be provided","it is not necessary to fill this cell")</f>
        <v>it is not necessary to fill this cell</v>
      </c>
      <c r="D46" t="s">
        <v>924</v>
      </c>
    </row>
    <row r="47" spans="1:4" x14ac:dyDescent="0.3">
      <c r="A47" s="16" t="s">
        <v>881</v>
      </c>
      <c r="B47" t="s">
        <v>888</v>
      </c>
      <c r="C47" t="str">
        <f>IF(B43="elc","paelc[1] option must be provided","it is not necessary to fill this cell")</f>
        <v>paelc[1] option must be provided</v>
      </c>
      <c r="D47" t="s">
        <v>885</v>
      </c>
    </row>
    <row r="48" spans="1:4" x14ac:dyDescent="0.3">
      <c r="A48" s="16" t="s">
        <v>882</v>
      </c>
      <c r="B48" t="s">
        <v>889</v>
      </c>
      <c r="C48" t="str">
        <f>IF(AND(B43="elc",B47&lt;&gt;""),"paelc[2] could be optionally provided","it is not necessary to fill this cell")</f>
        <v>paelc[2] could be optionally provided</v>
      </c>
      <c r="D48" t="s">
        <v>886</v>
      </c>
    </row>
    <row r="49" spans="1:4" x14ac:dyDescent="0.3">
      <c r="A49" s="16" t="s">
        <v>883</v>
      </c>
      <c r="C49" t="str">
        <f>IF(AND(B43="elc",B48&lt;&gt;""),"paelc[3] could be optionally provided","it is not necessary to select an option for this cell")</f>
        <v>paelc[3] could be optionally provided</v>
      </c>
      <c r="D49" t="s">
        <v>886</v>
      </c>
    </row>
    <row r="50" spans="1:4" x14ac:dyDescent="0.3">
      <c r="A50" s="16" t="s">
        <v>884</v>
      </c>
      <c r="C50" t="str">
        <f>IF(AND(B43="elc",B49&lt;&gt;""),"paelc[4] could be optionally provided","it is not necessary to select an option for this cell")</f>
        <v>it is not necessary to select an option for this cell</v>
      </c>
      <c r="D50" t="s">
        <v>886</v>
      </c>
    </row>
    <row r="51" spans="1:4" x14ac:dyDescent="0.3">
      <c r="A51" s="16" t="s">
        <v>23</v>
      </c>
      <c r="B51" t="s">
        <v>1253</v>
      </c>
      <c r="C51" t="str">
        <f>IF(B43="elc","The name of the ELC map (including .grd extension) must be provided","it is not necessary to fill this cell")</f>
        <v>The name of the ELC map (including .grd extension) must be provided</v>
      </c>
      <c r="D51" t="s">
        <v>851</v>
      </c>
    </row>
    <row r="52" spans="1:4" x14ac:dyDescent="0.3">
      <c r="A52" s="16" t="s">
        <v>24</v>
      </c>
      <c r="B52" t="s">
        <v>1254</v>
      </c>
      <c r="C52" t="str">
        <f>IF(B43="elc","The name of the statistic table of ELC map (including .txt extension) must be provided","it is not necessary to fill this cell")</f>
        <v>The name of the statistic table of ELC map (including .txt extension) must be provided</v>
      </c>
      <c r="D52" t="s">
        <v>852</v>
      </c>
    </row>
    <row r="53" spans="1:4" x14ac:dyDescent="0.3">
      <c r="A53" s="10" t="s">
        <v>25</v>
      </c>
      <c r="B53" t="s">
        <v>657</v>
      </c>
      <c r="C53" t="str">
        <f>IF(B53="","modelby option must be selected","ok")</f>
        <v>ok</v>
      </c>
      <c r="D53" s="28" t="s">
        <v>1269</v>
      </c>
    </row>
    <row r="54" spans="1:4" x14ac:dyDescent="0.3">
      <c r="A54" s="11" t="s">
        <v>26</v>
      </c>
      <c r="B54" t="s">
        <v>1266</v>
      </c>
      <c r="C54" t="s">
        <v>1267</v>
      </c>
      <c r="D54" t="s">
        <v>1268</v>
      </c>
    </row>
    <row r="55" spans="1:4" x14ac:dyDescent="0.3">
      <c r="A55" s="11" t="s">
        <v>27</v>
      </c>
      <c r="B55" t="s">
        <v>1266</v>
      </c>
      <c r="C55" t="s">
        <v>1267</v>
      </c>
      <c r="D55" t="s">
        <v>1268</v>
      </c>
    </row>
    <row r="56" spans="1:4" x14ac:dyDescent="0.3">
      <c r="A56" s="11" t="s">
        <v>28</v>
      </c>
      <c r="B56" t="s">
        <v>1266</v>
      </c>
      <c r="C56" t="s">
        <v>1267</v>
      </c>
      <c r="D56" t="s">
        <v>1268</v>
      </c>
    </row>
    <row r="57" spans="1:4" x14ac:dyDescent="0.3">
      <c r="A57" s="11" t="s">
        <v>29</v>
      </c>
      <c r="B57" t="s">
        <v>1266</v>
      </c>
      <c r="C57" t="s">
        <v>1267</v>
      </c>
      <c r="D57" t="s">
        <v>1268</v>
      </c>
    </row>
    <row r="58" spans="1:4" x14ac:dyDescent="0.3">
      <c r="A58" s="13" t="s">
        <v>30</v>
      </c>
      <c r="B58" t="s">
        <v>1251</v>
      </c>
      <c r="C58" t="str">
        <f>IF(B53="biomod","modelid ID word must be provided","it is not necessary to fill this cell")</f>
        <v>modelid ID word must be provided</v>
      </c>
    </row>
    <row r="59" spans="1:4" x14ac:dyDescent="0.3">
      <c r="A59" s="13" t="s">
        <v>871</v>
      </c>
      <c r="B59" t="s">
        <v>38</v>
      </c>
      <c r="C59" t="str">
        <f>IF(B53="biomod","At least one model code must be provided","it is not necessary to fill this cell")</f>
        <v>At least one model code must be provided</v>
      </c>
      <c r="D59" t="s">
        <v>869</v>
      </c>
    </row>
    <row r="60" spans="1:4" x14ac:dyDescent="0.3">
      <c r="A60" s="13" t="s">
        <v>872</v>
      </c>
      <c r="B60" t="s">
        <v>39</v>
      </c>
      <c r="C60" t="str">
        <f>IF(AND(B53="biomod",B59&lt;&gt;""),"before to provide modelos[2] code, modelos[1] code must be selected","it is not necessary to fill this cell")</f>
        <v>before to provide modelos[2] code, modelos[1] code must be selected</v>
      </c>
      <c r="D60" t="s">
        <v>870</v>
      </c>
    </row>
    <row r="61" spans="1:4" x14ac:dyDescent="0.3">
      <c r="A61" s="13" t="s">
        <v>873</v>
      </c>
      <c r="B61" t="s">
        <v>40</v>
      </c>
      <c r="C61" t="str">
        <f>IF(AND(B53="biomod",B60&lt;&gt;""),"before to provide modelos[3] code, modelos[2] code must be selected","it is not necessary to fill this cell")</f>
        <v>before to provide modelos[3] code, modelos[2] code must be selected</v>
      </c>
      <c r="D61" t="s">
        <v>870</v>
      </c>
    </row>
    <row r="62" spans="1:4" x14ac:dyDescent="0.3">
      <c r="A62" s="13" t="s">
        <v>874</v>
      </c>
      <c r="B62" t="s">
        <v>41</v>
      </c>
      <c r="C62" t="str">
        <f>IF(AND(B53="biomod",B61&lt;&gt;""),"before to provide modelos[4] code, modelos[3] code must be selected","it is not necessary to fill this cell")</f>
        <v>before to provide modelos[4] code, modelos[3] code must be selected</v>
      </c>
      <c r="D62" t="s">
        <v>870</v>
      </c>
    </row>
    <row r="63" spans="1:4" x14ac:dyDescent="0.3">
      <c r="A63" s="13" t="s">
        <v>875</v>
      </c>
      <c r="B63" t="s">
        <v>42</v>
      </c>
      <c r="C63" t="str">
        <f>IF(AND(B53="biomod",B62&lt;&gt;""),"before to provide modelos[5] code, modelos[4] code must be selected","it is not necessary to fill this cell")</f>
        <v>before to provide modelos[5] code, modelos[4] code must be selected</v>
      </c>
      <c r="D63" t="s">
        <v>870</v>
      </c>
    </row>
    <row r="64" spans="1:4" x14ac:dyDescent="0.3">
      <c r="A64" s="13" t="s">
        <v>876</v>
      </c>
      <c r="B64" t="s">
        <v>868</v>
      </c>
      <c r="C64" t="str">
        <f>IF(AND(B53="biomod",B63&lt;&gt;""),"before to provide modelos[6] code, modelos[5] code must be selected","it is not necessary to fill this cell")</f>
        <v>before to provide modelos[6] code, modelos[5] code must be selected</v>
      </c>
      <c r="D64" t="s">
        <v>870</v>
      </c>
    </row>
    <row r="65" spans="1:4" x14ac:dyDescent="0.3">
      <c r="A65" s="13" t="s">
        <v>877</v>
      </c>
      <c r="B65" t="s">
        <v>44</v>
      </c>
      <c r="C65" t="str">
        <f>IF(AND(B53="biomod",B64&lt;&gt;""),"before to provide modelos[7] code, modelos[6] code must be selected","it is not necessary to fill this cell")</f>
        <v>before to provide modelos[7] code, modelos[6] code must be selected</v>
      </c>
      <c r="D65" t="s">
        <v>870</v>
      </c>
    </row>
    <row r="66" spans="1:4" x14ac:dyDescent="0.3">
      <c r="A66" s="13" t="s">
        <v>878</v>
      </c>
      <c r="B66" t="s">
        <v>46</v>
      </c>
      <c r="C66" t="str">
        <f>IF(AND(B53="biomod",B65&lt;&gt;""),"before to provide modelos[8] code, modelos[7] code must be selected","it is not necessary to fill this cell")</f>
        <v>before to provide modelos[8] code, modelos[7] code must be selected</v>
      </c>
      <c r="D66" t="s">
        <v>870</v>
      </c>
    </row>
    <row r="67" spans="1:4" x14ac:dyDescent="0.3">
      <c r="A67" s="13" t="s">
        <v>879</v>
      </c>
      <c r="B67" t="s">
        <v>48</v>
      </c>
      <c r="C67" t="str">
        <f>IF(AND(B53="biomod",B66&lt;&gt;""),"before to provide modelos[9] code, modelos[8] code must be selected","it is not necessary to fill this cell")</f>
        <v>before to provide modelos[9] code, modelos[8] code must be selected</v>
      </c>
      <c r="D67" t="s">
        <v>870</v>
      </c>
    </row>
    <row r="68" spans="1:4" x14ac:dyDescent="0.3">
      <c r="A68" s="13" t="s">
        <v>880</v>
      </c>
      <c r="B68" t="s">
        <v>49</v>
      </c>
      <c r="C68" t="str">
        <f>IF(AND(B53="biomod",B67&lt;&gt;""),"before to provide modelos[10] code, modelos[9] code must be selected","it is not necessary to fill this cell")</f>
        <v>before to provide modelos[10] code, modelos[9] code must be selected</v>
      </c>
      <c r="D68" t="s">
        <v>870</v>
      </c>
    </row>
    <row r="69" spans="1:4" x14ac:dyDescent="0.3">
      <c r="A69" s="24" t="s">
        <v>37</v>
      </c>
      <c r="B69" t="s">
        <v>1</v>
      </c>
      <c r="C69" t="str">
        <f>IF(B53="biomod","modelopc option must be provided","it is not necessary to fill this cell")</f>
        <v>modelopc option must be provided</v>
      </c>
      <c r="D69" t="s">
        <v>56</v>
      </c>
    </row>
    <row r="70" spans="1:4" x14ac:dyDescent="0.3">
      <c r="A70" s="7" t="s">
        <v>38</v>
      </c>
      <c r="B70" t="s">
        <v>1</v>
      </c>
      <c r="C70" t="str">
        <f>IF(B$69="TRUE","GLM option must be provided","it is not necessary to fill this cell")</f>
        <v>GLM option must be provided</v>
      </c>
      <c r="D70" t="s">
        <v>56</v>
      </c>
    </row>
    <row r="71" spans="1:4" x14ac:dyDescent="0.3">
      <c r="A71" s="25" t="s">
        <v>32</v>
      </c>
      <c r="B71" t="s">
        <v>1255</v>
      </c>
      <c r="C71" t="str">
        <f>IF(B70="TRUE","Filename for GLM options (located in ModelOptions folder, including .txt) must be provided","it is not necessary to fill this cell")</f>
        <v>Filename for GLM options (located in ModelOptions folder, including .txt) must be provided</v>
      </c>
      <c r="D71" t="s">
        <v>853</v>
      </c>
    </row>
    <row r="72" spans="1:4" x14ac:dyDescent="0.3">
      <c r="A72" s="7" t="s">
        <v>39</v>
      </c>
      <c r="B72" t="s">
        <v>1</v>
      </c>
      <c r="C72" t="str">
        <f>IF(B$69="TRUE","GBM option must be provided","it is not necessary to fill this cell")</f>
        <v>GBM option must be provided</v>
      </c>
      <c r="D72" t="s">
        <v>56</v>
      </c>
    </row>
    <row r="73" spans="1:4" x14ac:dyDescent="0.3">
      <c r="A73" s="25" t="s">
        <v>33</v>
      </c>
      <c r="B73" t="s">
        <v>1256</v>
      </c>
      <c r="C73" t="str">
        <f>IF(B72="TRUE","Filename for GBM options (located in ModelOptions folder, including .txt) must be provided","it is not necessary to fill this cell")</f>
        <v>Filename for GBM options (located in ModelOptions folder, including .txt) must be provided</v>
      </c>
      <c r="D73" t="s">
        <v>854</v>
      </c>
    </row>
    <row r="74" spans="1:4" x14ac:dyDescent="0.3">
      <c r="A74" s="7" t="s">
        <v>40</v>
      </c>
      <c r="B74" t="s">
        <v>1</v>
      </c>
      <c r="C74" t="str">
        <f>IF(B$69="TRUE","GAM option must be provided","it is not necessary to fill this cell")</f>
        <v>GAM option must be provided</v>
      </c>
      <c r="D74" t="s">
        <v>56</v>
      </c>
    </row>
    <row r="75" spans="1:4" x14ac:dyDescent="0.3">
      <c r="A75" s="25" t="s">
        <v>34</v>
      </c>
      <c r="B75" t="s">
        <v>1257</v>
      </c>
      <c r="C75" t="str">
        <f>IF(B74="TRUE","Filename for GAM options (located in ModelOptions folder, including .txt) must be provided","it is not necessary to fill this cell")</f>
        <v>Filename for GAM options (located in ModelOptions folder, including .txt) must be provided</v>
      </c>
      <c r="D75" t="s">
        <v>854</v>
      </c>
    </row>
    <row r="76" spans="1:4" x14ac:dyDescent="0.3">
      <c r="A76" s="7" t="s">
        <v>41</v>
      </c>
      <c r="B76" t="s">
        <v>1</v>
      </c>
      <c r="C76" t="str">
        <f>IF(B$69="TRUE","CTA option must be provided","it is not necessary to fill this cell")</f>
        <v>CTA option must be provided</v>
      </c>
      <c r="D76" t="s">
        <v>56</v>
      </c>
    </row>
    <row r="77" spans="1:4" x14ac:dyDescent="0.3">
      <c r="A77" s="25" t="s">
        <v>35</v>
      </c>
      <c r="B77" t="s">
        <v>1258</v>
      </c>
      <c r="C77" t="str">
        <f>IF(B76="TRUE","Filename for CTA options (located in ModelOptions folder, including .txt) must be provided","it is not necessary to fill this cell")</f>
        <v>Filename for CTA options (located in ModelOptions folder, including .txt) must be provided</v>
      </c>
      <c r="D77" t="s">
        <v>854</v>
      </c>
    </row>
    <row r="78" spans="1:4" x14ac:dyDescent="0.3">
      <c r="A78" s="7" t="s">
        <v>42</v>
      </c>
      <c r="B78" t="s">
        <v>1</v>
      </c>
      <c r="C78" t="str">
        <f>IF(B$69="TRUE","ANN option must be provided","it is not necessary to fill this cell")</f>
        <v>ANN option must be provided</v>
      </c>
      <c r="D78" t="s">
        <v>56</v>
      </c>
    </row>
    <row r="79" spans="1:4" x14ac:dyDescent="0.3">
      <c r="A79" s="25" t="s">
        <v>36</v>
      </c>
      <c r="B79" t="s">
        <v>1259</v>
      </c>
      <c r="C79" t="str">
        <f>IF(B78="TRUE","Filename for ANN options (located in ModelOptions folder, including .txt) must be provided","it is not necessary to fill this cell")</f>
        <v>Filename for ANN options (located in ModelOptions folder, including .txt) must be provided</v>
      </c>
      <c r="D79" t="s">
        <v>854</v>
      </c>
    </row>
    <row r="80" spans="1:4" x14ac:dyDescent="0.3">
      <c r="A80" s="7" t="s">
        <v>849</v>
      </c>
      <c r="B80" t="s">
        <v>1</v>
      </c>
      <c r="C80" t="str">
        <f>IF(B$69="TRUE","SRE option must be provided","it is not necessary to fill this cell")</f>
        <v>SRE option must be provided</v>
      </c>
      <c r="D80" t="s">
        <v>56</v>
      </c>
    </row>
    <row r="81" spans="1:4" x14ac:dyDescent="0.3">
      <c r="A81" s="25" t="s">
        <v>43</v>
      </c>
      <c r="B81" t="s">
        <v>1260</v>
      </c>
      <c r="C81" t="str">
        <f>IF(B80="TRUE","Filename for SRE options (located in ModelOptions folder, including .txt) must be provided","it is not necessary to fill this cell")</f>
        <v>Filename for SRE options (located in ModelOptions folder, including .txt) must be provided</v>
      </c>
      <c r="D81" t="s">
        <v>854</v>
      </c>
    </row>
    <row r="82" spans="1:4" x14ac:dyDescent="0.3">
      <c r="A82" s="7" t="s">
        <v>44</v>
      </c>
      <c r="B82" t="s">
        <v>1</v>
      </c>
      <c r="C82" t="str">
        <f>IF(B$69="TRUE","FDA option must be provided","it is not necessary to fill this cell")</f>
        <v>FDA option must be provided</v>
      </c>
      <c r="D82" t="s">
        <v>56</v>
      </c>
    </row>
    <row r="83" spans="1:4" x14ac:dyDescent="0.3">
      <c r="A83" s="25" t="s">
        <v>45</v>
      </c>
      <c r="B83" t="s">
        <v>1261</v>
      </c>
      <c r="C83" t="str">
        <f>IF(B82="TRUE","Filename for FDA options (located in ModelOptions folder, including .txt) must be provided","it is not necessary to fill this cell")</f>
        <v>Filename for FDA options (located in ModelOptions folder, including .txt) must be provided</v>
      </c>
      <c r="D83" t="s">
        <v>854</v>
      </c>
    </row>
    <row r="84" spans="1:4" x14ac:dyDescent="0.3">
      <c r="A84" s="7" t="s">
        <v>46</v>
      </c>
      <c r="B84" t="s">
        <v>1</v>
      </c>
      <c r="C84" t="str">
        <f>IF(B$69="TRUE","MARS option must be provided","it is not necessary to fill this cell")</f>
        <v>MARS option must be provided</v>
      </c>
      <c r="D84" t="s">
        <v>56</v>
      </c>
    </row>
    <row r="85" spans="1:4" x14ac:dyDescent="0.3">
      <c r="A85" s="25" t="s">
        <v>47</v>
      </c>
      <c r="B85" t="s">
        <v>1262</v>
      </c>
      <c r="C85" t="str">
        <f>IF(B84="TRUE","Filename for MARS options (located in ModelOptions folder, including .txt) must be provided","it is not necessary to fill this cell")</f>
        <v>Filename for MARS options (located in ModelOptions folder, including .txt) must be provided</v>
      </c>
      <c r="D85" t="s">
        <v>854</v>
      </c>
    </row>
    <row r="86" spans="1:4" x14ac:dyDescent="0.3">
      <c r="A86" s="7" t="s">
        <v>48</v>
      </c>
      <c r="B86" t="s">
        <v>1</v>
      </c>
      <c r="C86" t="str">
        <f>IF(B$69="TRUE","RF option must be provided","it is not necessary to fill this cell")</f>
        <v>RF option must be provided</v>
      </c>
      <c r="D86" t="s">
        <v>56</v>
      </c>
    </row>
    <row r="87" spans="1:4" x14ac:dyDescent="0.3">
      <c r="A87" s="25" t="s">
        <v>905</v>
      </c>
      <c r="B87" t="s">
        <v>1263</v>
      </c>
      <c r="C87" t="str">
        <f>IF(B86="TRUE","Filename for RF options (located in ModelOptions folder, including .txt) must be provided","it is not necessary to fill this cell")</f>
        <v>Filename for RF options (located in ModelOptions folder, including .txt) must be provided</v>
      </c>
      <c r="D87" t="s">
        <v>854</v>
      </c>
    </row>
    <row r="88" spans="1:4" x14ac:dyDescent="0.3">
      <c r="A88" s="7" t="s">
        <v>49</v>
      </c>
      <c r="B88" t="s">
        <v>1</v>
      </c>
      <c r="C88" t="str">
        <f>IF(B$69="TRUE","MAXENT option must be provided","it is not necessary to fill this cell")</f>
        <v>MAXENT option must be provided</v>
      </c>
      <c r="D88" t="s">
        <v>56</v>
      </c>
    </row>
    <row r="89" spans="1:4" x14ac:dyDescent="0.3">
      <c r="A89" s="25" t="s">
        <v>50</v>
      </c>
      <c r="B89" t="s">
        <v>1264</v>
      </c>
      <c r="C89" t="str">
        <f>IF(B88="TRUE","Filename for MAXENT options (located in ModelOptions folder, including .txt) must be provided","it is not necessary to fill this cell")</f>
        <v>Filename for MAXENT options (located in ModelOptions folder, including .txt) must be provided</v>
      </c>
      <c r="D89" t="s">
        <v>854</v>
      </c>
    </row>
    <row r="90" spans="1:4" x14ac:dyDescent="0.3">
      <c r="A90" s="13" t="s">
        <v>59</v>
      </c>
      <c r="B90">
        <v>2</v>
      </c>
      <c r="C90" t="str">
        <f>IF(B53="biomod","modrep value must be provided","it is not necessary to fill this cell")</f>
        <v>modrep value must be provided</v>
      </c>
      <c r="D90" t="s">
        <v>58</v>
      </c>
    </row>
    <row r="91" spans="1:4" x14ac:dyDescent="0.3">
      <c r="A91" s="13" t="s">
        <v>60</v>
      </c>
      <c r="B91">
        <v>75</v>
      </c>
      <c r="C91" t="str">
        <f>IF(B53="biomod","datadiv value must be provided","it is not necessary to fill this cell")</f>
        <v>datadiv value must be provided</v>
      </c>
      <c r="D91" t="s">
        <v>638</v>
      </c>
    </row>
    <row r="92" spans="1:4" x14ac:dyDescent="0.3">
      <c r="A92" s="13" t="s">
        <v>61</v>
      </c>
      <c r="B92" t="s">
        <v>51</v>
      </c>
      <c r="C92" t="str">
        <f>IF(B53="biomod","preval option must be provided","it is not necessary to fill this cell")</f>
        <v>preval option must be provided</v>
      </c>
      <c r="D92" t="s">
        <v>57</v>
      </c>
    </row>
    <row r="93" spans="1:4" x14ac:dyDescent="0.3">
      <c r="A93" s="13" t="s">
        <v>62</v>
      </c>
      <c r="B93">
        <v>5</v>
      </c>
      <c r="C93" t="str">
        <f>IF(B53="biomod","imporvar value must be provided","it is not necessary to fill this cell")</f>
        <v>imporvar value must be provided</v>
      </c>
      <c r="D93" t="s">
        <v>58</v>
      </c>
    </row>
    <row r="94" spans="1:4" x14ac:dyDescent="0.3">
      <c r="A94" s="13" t="s">
        <v>892</v>
      </c>
      <c r="B94" t="s">
        <v>659</v>
      </c>
      <c r="C94" t="str">
        <f>IF(B53="biomod","One test from the available options for testparam[1] must be selected","it is not necessary to fill this cell")</f>
        <v>One test from the available options for testparam[1] must be selected</v>
      </c>
      <c r="D94" t="s">
        <v>897</v>
      </c>
    </row>
    <row r="95" spans="1:4" x14ac:dyDescent="0.3">
      <c r="A95" s="13" t="s">
        <v>893</v>
      </c>
      <c r="B95" t="s">
        <v>666</v>
      </c>
      <c r="C95" t="str">
        <f>IF(AND(B53="biomod",B94&lt;&gt;""),"Optionally select one test for testparam[2], but before testparam[1] must be selected","it is not necessary to fill this cell")</f>
        <v>Optionally select one test for testparam[2], but before testparam[1] must be selected</v>
      </c>
      <c r="D95" t="s">
        <v>898</v>
      </c>
    </row>
    <row r="96" spans="1:4" x14ac:dyDescent="0.3">
      <c r="A96" s="13" t="s">
        <v>894</v>
      </c>
      <c r="C96" t="str">
        <f>IF(AND(B53="biomod",B95&lt;&gt;""),"Optionally select one test for testparam[3], but before testparam[2] must be selected","it is not necessary to fill this cell")</f>
        <v>Optionally select one test for testparam[3], but before testparam[2] must be selected</v>
      </c>
      <c r="D96" t="s">
        <v>898</v>
      </c>
    </row>
    <row r="97" spans="1:4" x14ac:dyDescent="0.3">
      <c r="A97" s="13" t="s">
        <v>895</v>
      </c>
      <c r="C97" t="str">
        <f>IF(AND(B53="biomod",B96&lt;&gt;""),"Optionally select one test for testparam[4], but before testparam[3] must be selected","it is not necessary to fill this cell")</f>
        <v>it is not necessary to fill this cell</v>
      </c>
      <c r="D97" t="s">
        <v>898</v>
      </c>
    </row>
    <row r="98" spans="1:4" x14ac:dyDescent="0.3">
      <c r="A98" s="13" t="s">
        <v>896</v>
      </c>
      <c r="C98" t="str">
        <f>IF(AND(B53="biomod",B97&lt;&gt;""),"Optionally select one test for testparam[5], but before testparam[4] must be selected","it is not necessary to fill this cell")</f>
        <v>it is not necessary to fill this cell</v>
      </c>
      <c r="D98" t="s">
        <v>898</v>
      </c>
    </row>
    <row r="99" spans="1:4" x14ac:dyDescent="0.3">
      <c r="A99" s="13" t="s">
        <v>63</v>
      </c>
      <c r="B99" t="s">
        <v>1</v>
      </c>
      <c r="C99" t="str">
        <f>IF(B53="biomod","reescal option must be provided","it is not necessary to fill this cell")</f>
        <v>reescal option must be provided</v>
      </c>
      <c r="D99" t="s">
        <v>56</v>
      </c>
    </row>
    <row r="100" spans="1:4" x14ac:dyDescent="0.3">
      <c r="A100" s="13" t="s">
        <v>64</v>
      </c>
      <c r="B100" t="s">
        <v>1</v>
      </c>
      <c r="C100" t="str">
        <f>IF(B53="biomod","modcomp option must be provided","it is not necessary to fill this cell")</f>
        <v>modcomp option must be provided</v>
      </c>
      <c r="D100" t="s">
        <v>56</v>
      </c>
    </row>
    <row r="101" spans="1:4" x14ac:dyDescent="0.3">
      <c r="A101" s="13" t="s">
        <v>65</v>
      </c>
      <c r="B101" t="s">
        <v>1</v>
      </c>
      <c r="C101" t="str">
        <f>IF(B53="biomod","modprop option must be provided","it is not necessary to fill this cell")</f>
        <v>modprop option must be provided</v>
      </c>
      <c r="D101" t="s">
        <v>56</v>
      </c>
    </row>
    <row r="102" spans="1:4" x14ac:dyDescent="0.3">
      <c r="A102" s="14" t="s">
        <v>66</v>
      </c>
      <c r="B102" t="s">
        <v>1</v>
      </c>
      <c r="C102" t="str">
        <f>IF(B53="biomod","proysome option must be provided","it is not necessary to fill this cell")</f>
        <v>proysome option must be provided</v>
      </c>
      <c r="D102" t="s">
        <v>56</v>
      </c>
    </row>
    <row r="103" spans="1:4" x14ac:dyDescent="0.3">
      <c r="A103" s="14" t="s">
        <v>67</v>
      </c>
      <c r="B103" t="s">
        <v>659</v>
      </c>
      <c r="C103" t="str">
        <f>IF(B102="TRUE","proytest1 option must be provided","it is not necessary to fill this cell")</f>
        <v>proytest1 option must be provided</v>
      </c>
      <c r="D103" t="s">
        <v>57</v>
      </c>
    </row>
    <row r="104" spans="1:4" x14ac:dyDescent="0.3">
      <c r="A104" s="14" t="s">
        <v>68</v>
      </c>
      <c r="B104">
        <v>0.4</v>
      </c>
      <c r="C104" t="str">
        <f>IF(B102="TRUE","proytest1u value must be provided","it is not necessary to fill this cell")</f>
        <v>proytest1u value must be provided</v>
      </c>
      <c r="D104" t="s">
        <v>87</v>
      </c>
    </row>
    <row r="105" spans="1:4" x14ac:dyDescent="0.3">
      <c r="A105" s="14" t="s">
        <v>69</v>
      </c>
      <c r="C105" t="str">
        <f>IF(B102="TRUE","proytest2 option may optionally be provided","it is not necessary to fill this cell")</f>
        <v>proytest2 option may optionally be provided</v>
      </c>
      <c r="D105" t="s">
        <v>56</v>
      </c>
    </row>
    <row r="106" spans="1:4" x14ac:dyDescent="0.3">
      <c r="A106" s="17" t="s">
        <v>70</v>
      </c>
      <c r="C106" t="str">
        <f>IF(AND(B102="TRUE",B105="TRUE"),"proytest2 option must be provided","it is not necessary to fill this cell")</f>
        <v>it is not necessary to fill this cell</v>
      </c>
      <c r="D106" t="s">
        <v>57</v>
      </c>
    </row>
    <row r="107" spans="1:4" x14ac:dyDescent="0.3">
      <c r="A107" s="17" t="s">
        <v>71</v>
      </c>
      <c r="C107" t="str">
        <f>IF(AND(B102="TRUE",B105="TRUE"),"proytest2u value must be provided","it is not necessary to fill this cell")</f>
        <v>it is not necessary to fill this cell</v>
      </c>
      <c r="D107" t="s">
        <v>87</v>
      </c>
    </row>
    <row r="108" spans="1:4" x14ac:dyDescent="0.3">
      <c r="A108" s="14" t="s">
        <v>72</v>
      </c>
      <c r="B108" t="s">
        <v>1</v>
      </c>
      <c r="C108" t="str">
        <f>IF(B53="biomod","binar option must be provided","it is not necessary to fill this cell")</f>
        <v>binar option must be provided</v>
      </c>
      <c r="D108" t="s">
        <v>56</v>
      </c>
    </row>
    <row r="109" spans="1:4" x14ac:dyDescent="0.3">
      <c r="A109" s="17" t="s">
        <v>73</v>
      </c>
      <c r="B109" t="s">
        <v>659</v>
      </c>
      <c r="C109" t="str">
        <f>IF(AND(B53="biomod",B108="TRUE"),"binarmet option must be provided","it is not necessary to fill this cell")</f>
        <v>binarmet option must be provided</v>
      </c>
      <c r="D109" t="s">
        <v>1243</v>
      </c>
    </row>
    <row r="110" spans="1:4" x14ac:dyDescent="0.3">
      <c r="A110" s="14" t="s">
        <v>74</v>
      </c>
      <c r="B110" t="s">
        <v>1</v>
      </c>
      <c r="C110" t="str">
        <f>IF(B53="biomod","maskout option must be provided","it is not necessary to fill this cell")</f>
        <v>maskout option must be provided</v>
      </c>
      <c r="D110" t="s">
        <v>56</v>
      </c>
    </row>
    <row r="111" spans="1:4" x14ac:dyDescent="0.3">
      <c r="A111" s="26" t="s">
        <v>75</v>
      </c>
      <c r="B111" t="s">
        <v>31</v>
      </c>
      <c r="C111" t="str">
        <f>IF(B53="biomod","ensamb option must be provided","it is not necessary to fill this cell")</f>
        <v>ensamb option must be provided</v>
      </c>
      <c r="D111" t="s">
        <v>56</v>
      </c>
    </row>
    <row r="112" spans="1:4" x14ac:dyDescent="0.3">
      <c r="A112" s="15" t="s">
        <v>76</v>
      </c>
      <c r="C112" t="str">
        <f>IF(B$111="TRUE","mod2bens option must be provided","it is not necessary to fill this cell")</f>
        <v>it is not necessary to fill this cell</v>
      </c>
      <c r="D112" t="s">
        <v>57</v>
      </c>
    </row>
    <row r="113" spans="1:4" x14ac:dyDescent="0.3">
      <c r="A113" s="15" t="s">
        <v>52</v>
      </c>
      <c r="C113" t="str">
        <f>IF(B$111="TRUE","tipensam option must be provided","it is not necessary to fill this cell")</f>
        <v>it is not necessary to fill this cell</v>
      </c>
      <c r="D113" t="s">
        <v>57</v>
      </c>
    </row>
    <row r="114" spans="1:4" x14ac:dyDescent="0.3">
      <c r="A114" s="15" t="s">
        <v>77</v>
      </c>
      <c r="C114" t="str">
        <f>IF(B$111="TRUE","ensamet option must be provided","it is not necessary to fill this cell")</f>
        <v>it is not necessary to fill this cell</v>
      </c>
      <c r="D114" t="s">
        <v>56</v>
      </c>
    </row>
    <row r="115" spans="1:4" x14ac:dyDescent="0.3">
      <c r="A115" s="15" t="s">
        <v>78</v>
      </c>
      <c r="C115" t="str">
        <f>IF(B$111="TRUE","testparam2 option must be provided","it is not necessary to fill this cell")</f>
        <v>it is not necessary to fill this cell</v>
      </c>
      <c r="D115" t="s">
        <v>56</v>
      </c>
    </row>
    <row r="116" spans="1:4" x14ac:dyDescent="0.3">
      <c r="A116" s="15" t="s">
        <v>899</v>
      </c>
      <c r="C116" t="str">
        <f>IF(AND(B$111="TRUE",B115="TRUE"),"testparam3[1] option must be provided","it is not necessary to fill this cell")</f>
        <v>it is not necessary to fill this cell</v>
      </c>
      <c r="D116" t="s">
        <v>897</v>
      </c>
    </row>
    <row r="117" spans="1:4" x14ac:dyDescent="0.3">
      <c r="A117" s="15" t="s">
        <v>900</v>
      </c>
      <c r="C117" t="str">
        <f>IF(AND(B$111="TRUE",B115="TRUE",B116&lt;&gt;""),"testparam3[2] option can be optionally provided","it is not necessary to fill this cell")</f>
        <v>it is not necessary to fill this cell</v>
      </c>
      <c r="D117" t="s">
        <v>904</v>
      </c>
    </row>
    <row r="118" spans="1:4" x14ac:dyDescent="0.3">
      <c r="A118" s="15" t="s">
        <v>901</v>
      </c>
      <c r="C118" t="str">
        <f>IF(AND(B$111="TRUE",B115="TRUE",B117&lt;&gt;""),"testparam3[3] option can be optionally provided","it is not necessary to fill this cell")</f>
        <v>it is not necessary to fill this cell</v>
      </c>
      <c r="D118" t="s">
        <v>904</v>
      </c>
    </row>
    <row r="119" spans="1:4" x14ac:dyDescent="0.3">
      <c r="A119" s="15" t="s">
        <v>902</v>
      </c>
      <c r="C119" t="str">
        <f>IF(AND(B$111="TRUE",B115="TRUE",B117&lt;&gt;""),"testparam3[4] option can be optionally provided","it is not necessary to fill this cell")</f>
        <v>it is not necessary to fill this cell</v>
      </c>
      <c r="D119" t="s">
        <v>904</v>
      </c>
    </row>
    <row r="120" spans="1:4" x14ac:dyDescent="0.3">
      <c r="A120" s="15" t="s">
        <v>903</v>
      </c>
      <c r="C120" t="str">
        <f>IF(AND(B$111="TRUE",B115="TRUE",B119&lt;&gt;""),"testparam3[5] option can be optionally provided","it is not necessary to fill this cell")</f>
        <v>it is not necessary to fill this cell</v>
      </c>
      <c r="D120" t="s">
        <v>904</v>
      </c>
    </row>
    <row r="121" spans="1:4" x14ac:dyDescent="0.3">
      <c r="A121" s="15" t="s">
        <v>79</v>
      </c>
      <c r="C121" t="str">
        <f>IF(B$111="TRUE","probmean option must be provided","it is not necessary to fill this cell")</f>
        <v>it is not necessary to fill this cell</v>
      </c>
      <c r="D121" t="s">
        <v>56</v>
      </c>
    </row>
    <row r="122" spans="1:4" x14ac:dyDescent="0.3">
      <c r="A122" s="15" t="s">
        <v>80</v>
      </c>
      <c r="C122" t="str">
        <f>IF(B$111="TRUE","probcv option must be provided","it is not necessary to fill this cell")</f>
        <v>it is not necessary to fill this cell</v>
      </c>
      <c r="D122" t="s">
        <v>56</v>
      </c>
    </row>
    <row r="123" spans="1:4" x14ac:dyDescent="0.3">
      <c r="A123" s="15" t="s">
        <v>81</v>
      </c>
      <c r="C123" t="str">
        <f>IF(B$111="TRUE","probci option must be provided","it is not necessary to fill this cell")</f>
        <v>it is not necessary to fill this cell</v>
      </c>
      <c r="D123" t="s">
        <v>56</v>
      </c>
    </row>
    <row r="124" spans="1:4" x14ac:dyDescent="0.3">
      <c r="A124" s="15" t="s">
        <v>82</v>
      </c>
      <c r="C124" t="str">
        <f>IF(AND(B$111="TRUE",B123="TRUE"),"probci option must be provided","it is not necessary to fill this cell")</f>
        <v>it is not necessary to fill this cell</v>
      </c>
      <c r="D124" t="s">
        <v>57</v>
      </c>
    </row>
    <row r="125" spans="1:4" x14ac:dyDescent="0.3">
      <c r="A125" s="15" t="s">
        <v>83</v>
      </c>
      <c r="C125" t="str">
        <f>IF(B$111="TRUE","probmedian option must be provided","it is not necessary to fill this cell")</f>
        <v>it is not necessary to fill this cell</v>
      </c>
      <c r="D125" t="s">
        <v>56</v>
      </c>
    </row>
    <row r="126" spans="1:4" x14ac:dyDescent="0.3">
      <c r="A126" s="15" t="s">
        <v>84</v>
      </c>
      <c r="C126" t="str">
        <f>IF(B$111="TRUE","probca option must be provided","it is not necessary to fill this cell")</f>
        <v>it is not necessary to fill this cell</v>
      </c>
      <c r="D126" t="s">
        <v>56</v>
      </c>
    </row>
    <row r="127" spans="1:4" x14ac:dyDescent="0.3">
      <c r="A127" s="15" t="s">
        <v>85</v>
      </c>
      <c r="C127" t="str">
        <f>IF(B$111="TRUE","probmw option must be provided","it is not necessary to fill this cell")</f>
        <v>it is not necessary to fill this cell</v>
      </c>
      <c r="D127" t="s">
        <v>56</v>
      </c>
    </row>
    <row r="128" spans="1:4" x14ac:dyDescent="0.3">
      <c r="A128" s="15" t="s">
        <v>86</v>
      </c>
      <c r="B128" s="4"/>
      <c r="C128" s="4" t="str">
        <f>IF(AND(B$111="TRUE",B127="TRUE"),"probmwd option must be provided","it is not necessary to fill this cell")</f>
        <v>it is not necessary to fill this cell</v>
      </c>
      <c r="D128" t="s">
        <v>57</v>
      </c>
    </row>
    <row r="129" spans="1:4" x14ac:dyDescent="0.3">
      <c r="A129" s="12" t="s">
        <v>1244</v>
      </c>
      <c r="B129" s="4" t="s">
        <v>1</v>
      </c>
      <c r="C129" s="4" t="str">
        <f>IF(B129="","testNAs value is required","Ok")</f>
        <v>Ok</v>
      </c>
      <c r="D129" t="s">
        <v>56</v>
      </c>
    </row>
    <row r="130" spans="1:4" x14ac:dyDescent="0.3">
      <c r="A130" s="27" t="s">
        <v>53</v>
      </c>
      <c r="B130" t="s">
        <v>1265</v>
      </c>
      <c r="C130" t="str">
        <f>IF(B130="","resultados value is required","Ok")</f>
        <v>Ok</v>
      </c>
      <c r="D130" t="s">
        <v>848</v>
      </c>
    </row>
  </sheetData>
  <dataValidations count="8">
    <dataValidation type="whole" allowBlank="1" showInputMessage="1" showErrorMessage="1" sqref="B6" xr:uid="{00000000-0002-0000-0000-000000000000}">
      <formula1>0</formula1>
      <formula2>100</formula2>
    </dataValidation>
    <dataValidation type="whole" allowBlank="1" showInputMessage="1" showErrorMessage="1" sqref="B41 B91" xr:uid="{00000000-0002-0000-0000-000001000000}">
      <formula1>1</formula1>
      <formula2>100</formula2>
    </dataValidation>
    <dataValidation type="whole" allowBlank="1" showInputMessage="1" showErrorMessage="1" sqref="B44:B45 B42" xr:uid="{00000000-0002-0000-0000-000002000000}">
      <formula1>1</formula1>
      <formula2>10000000</formula2>
    </dataValidation>
    <dataValidation type="decimal" allowBlank="1" showInputMessage="1" showErrorMessage="1" sqref="B46" xr:uid="{00000000-0002-0000-0000-000003000000}">
      <formula1>0</formula1>
      <formula2>0.49</formula2>
    </dataValidation>
    <dataValidation type="whole" allowBlank="1" showInputMessage="1" showErrorMessage="1" sqref="B90" xr:uid="{00000000-0002-0000-0000-000004000000}">
      <formula1>1</formula1>
      <formula2>1000</formula2>
    </dataValidation>
    <dataValidation type="whole" allowBlank="1" showInputMessage="1" showErrorMessage="1" sqref="B93" xr:uid="{00000000-0002-0000-0000-000005000000}">
      <formula1>0</formula1>
      <formula2>100000</formula2>
    </dataValidation>
    <dataValidation type="decimal" allowBlank="1" showInputMessage="1" showErrorMessage="1" sqref="B107 B104" xr:uid="{00000000-0002-0000-0000-000006000000}">
      <formula1>0.01</formula1>
      <formula2>1</formula2>
    </dataValidation>
    <dataValidation type="whole" allowBlank="1" showInputMessage="1" showErrorMessage="1" sqref="B7" xr:uid="{00000000-0002-0000-0000-000007000000}">
      <formula1>0</formula1>
      <formula2>1000</formula2>
    </dataValidation>
  </dataValidations>
  <pageMargins left="0.7" right="0.7" top="0.75" bottom="0.75" header="0.3" footer="0.3"/>
  <pageSetup paperSize="9" orientation="portrait" r:id="rId1"/>
  <ignoredErrors>
    <ignoredError sqref="C42 C71" formula="1"/>
  </ignoredErrors>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000-000008000000}">
          <x14:formula1>
            <xm:f>Hoja1!$J$2:$J$11</xm:f>
          </x14:formula1>
          <xm:sqref>B106 B103 B94:B98 B116:B120 B109</xm:sqref>
        </x14:dataValidation>
        <x14:dataValidation type="list" allowBlank="1" showInputMessage="1" showErrorMessage="1" xr:uid="{00000000-0002-0000-0000-00000A000000}">
          <x14:formula1>
            <xm:f>Hoja1!$A$2:$A$174</xm:f>
          </x14:formula1>
          <xm:sqref>B3</xm:sqref>
        </x14:dataValidation>
        <x14:dataValidation type="list" allowBlank="1" showInputMessage="1" showErrorMessage="1" xr:uid="{00000000-0002-0000-0000-00000B000000}">
          <x14:formula1>
            <xm:f>Hoja1!$C$2:$C$3</xm:f>
          </x14:formula1>
          <xm:sqref>B33:B34 B39 B129 B69:B70 B72 B74 B76 B78 B80 B82 B84 B86 B88 B99:B102 B105 B108 B110:B111 B114:B115 B121:B123 B125:B127 B5</xm:sqref>
        </x14:dataValidation>
        <x14:dataValidation type="list" allowBlank="1" showInputMessage="1" showErrorMessage="1" xr:uid="{00000000-0002-0000-0000-00000C000000}">
          <x14:formula1>
            <xm:f>Hoja1!$D$2:$D$3</xm:f>
          </x14:formula1>
          <xm:sqref>B8</xm:sqref>
        </x14:dataValidation>
        <x14:dataValidation type="list" allowBlank="1" showInputMessage="1" showErrorMessage="1" xr:uid="{00000000-0002-0000-0000-00000D000000}">
          <x14:formula1>
            <xm:f>Hoja1!$E$2:$E$5</xm:f>
          </x14:formula1>
          <xm:sqref>B12</xm:sqref>
        </x14:dataValidation>
        <x14:dataValidation type="list" allowBlank="1" showInputMessage="1" showErrorMessage="1" xr:uid="{00000000-0002-0000-0000-00000E000000}">
          <x14:formula1>
            <xm:f>Hoja1!$F$2:$F$3</xm:f>
          </x14:formula1>
          <xm:sqref>B37</xm:sqref>
        </x14:dataValidation>
        <x14:dataValidation type="list" allowBlank="1" showInputMessage="1" showErrorMessage="1" xr:uid="{00000000-0002-0000-0000-00000F000000}">
          <x14:formula1>
            <xm:f>Hoja1!$G$2:$G$6</xm:f>
          </x14:formula1>
          <xm:sqref>B43</xm:sqref>
        </x14:dataValidation>
        <x14:dataValidation type="list" allowBlank="1" showInputMessage="1" showErrorMessage="1" xr:uid="{00000000-0002-0000-0000-000010000000}">
          <x14:formula1>
            <xm:f>Hoja1!$H$2:$H$3</xm:f>
          </x14:formula1>
          <xm:sqref>B53</xm:sqref>
        </x14:dataValidation>
        <x14:dataValidation type="list" allowBlank="1" showInputMessage="1" showErrorMessage="1" xr:uid="{00000000-0002-0000-0000-000012000000}">
          <x14:formula1>
            <xm:f>Hoja1!$K$2:$K$3</xm:f>
          </x14:formula1>
          <xm:sqref>B112</xm:sqref>
        </x14:dataValidation>
        <x14:dataValidation type="list" allowBlank="1" showInputMessage="1" showErrorMessage="1" xr:uid="{00000000-0002-0000-0000-000013000000}">
          <x14:formula1>
            <xm:f>Hoja1!$L$2:$L$6</xm:f>
          </x14:formula1>
          <xm:sqref>B113</xm:sqref>
        </x14:dataValidation>
        <x14:dataValidation type="list" allowBlank="1" showInputMessage="1" showErrorMessage="1" xr:uid="{00000000-0002-0000-0000-000014000000}">
          <x14:formula1>
            <xm:f>Hoja1!$M$2:$M$4</xm:f>
          </x14:formula1>
          <xm:sqref>B124</xm:sqref>
        </x14:dataValidation>
        <x14:dataValidation type="list" allowBlank="1" showInputMessage="1" showErrorMessage="1" xr:uid="{00000000-0002-0000-0000-000015000000}">
          <x14:formula1>
            <xm:f>Hoja1!$N$2</xm:f>
          </x14:formula1>
          <xm:sqref>B128</xm:sqref>
        </x14:dataValidation>
        <x14:dataValidation type="list" allowBlank="1" showInputMessage="1" showErrorMessage="1" xr:uid="{00000000-0002-0000-0000-000016000000}">
          <x14:formula1>
            <xm:f>Hoja1!$O$2:$O$11</xm:f>
          </x14:formula1>
          <xm:sqref>B59:B68</xm:sqref>
        </x14:dataValidation>
        <x14:dataValidation type="list" allowBlank="1" showInputMessage="1" showErrorMessage="1" xr:uid="{00000000-0002-0000-0000-000017000000}">
          <x14:formula1>
            <xm:f>Hoja1!$P$2:$P$6</xm:f>
          </x14:formula1>
          <xm:sqref>B47:B50</xm:sqref>
        </x14:dataValidation>
        <x14:dataValidation type="list" allowBlank="1" showInputMessage="1" showErrorMessage="1" xr:uid="{00000000-0002-0000-0000-000018000000}">
          <x14:formula1>
            <xm:f>Hoja1!$Q$2:$Q$7</xm:f>
          </x14:formula1>
          <xm:sqref>B92</xm:sqref>
        </x14:dataValidation>
        <x14:dataValidation type="list" allowBlank="1" showInputMessage="1" showErrorMessage="1" xr:uid="{00000000-0002-0000-0000-000019000000}">
          <x14:formula1>
            <xm:f>Hoja1!$R$2:$R$9</xm:f>
          </x14:formula1>
          <xm:sqref>B9</xm:sqref>
        </x14:dataValidation>
        <x14:dataValidation type="list" allowBlank="1" showInputMessage="1" showErrorMessage="1" xr:uid="{00000000-0002-0000-0000-00001A000000}">
          <x14:formula1>
            <xm:f>Hoja1!$S$2:$S$5</xm:f>
          </x14:formula1>
          <xm:sqref>B10</xm:sqref>
        </x14:dataValidation>
        <x14:dataValidation type="list" allowBlank="1" showInputMessage="1" showErrorMessage="1" xr:uid="{00000000-0002-0000-0000-00001B000000}">
          <x14:formula1>
            <xm:f>Hoja1!$T$2:$T$5</xm:f>
          </x14:formula1>
          <xm:sqref>B11</xm:sqref>
        </x14:dataValidation>
        <x14:dataValidation type="list" allowBlank="1" showInputMessage="1" showErrorMessage="1" xr:uid="{1F8D51CB-71F7-4386-BD91-0FCA22FAC445}">
          <x14:formula1>
            <xm:f>Hoja1!$B$2:$B$178</xm:f>
          </x14:formula1>
          <xm:sqref>B13:B32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8"/>
  <sheetViews>
    <sheetView topLeftCell="A154" workbookViewId="0">
      <selection activeCell="A2" sqref="A2:A178"/>
    </sheetView>
  </sheetViews>
  <sheetFormatPr defaultColWidth="11.5546875" defaultRowHeight="14.4" x14ac:dyDescent="0.3"/>
  <cols>
    <col min="1" max="1" width="31.6640625" customWidth="1"/>
    <col min="2" max="2" width="18" customWidth="1"/>
    <col min="3" max="3" width="26.5546875" customWidth="1"/>
    <col min="4" max="4" width="39" customWidth="1"/>
    <col min="94" max="94" width="18" customWidth="1"/>
  </cols>
  <sheetData>
    <row r="1" spans="1:8" x14ac:dyDescent="0.3">
      <c r="A1" s="1" t="s">
        <v>532</v>
      </c>
      <c r="B1" s="1" t="s">
        <v>533</v>
      </c>
      <c r="C1" s="1" t="s">
        <v>91</v>
      </c>
      <c r="D1" s="1" t="s">
        <v>92</v>
      </c>
      <c r="E1" s="1" t="s">
        <v>93</v>
      </c>
      <c r="F1" s="1" t="s">
        <v>94</v>
      </c>
      <c r="G1" s="1" t="s">
        <v>95</v>
      </c>
      <c r="H1" s="1" t="s">
        <v>96</v>
      </c>
    </row>
    <row r="2" spans="1:8" x14ac:dyDescent="0.3">
      <c r="A2" t="s">
        <v>97</v>
      </c>
      <c r="B2" t="s">
        <v>98</v>
      </c>
      <c r="C2" t="s">
        <v>99</v>
      </c>
      <c r="D2" t="s">
        <v>100</v>
      </c>
      <c r="E2" t="s">
        <v>101</v>
      </c>
      <c r="F2" t="s">
        <v>102</v>
      </c>
      <c r="G2" t="s">
        <v>103</v>
      </c>
    </row>
    <row r="3" spans="1:8" x14ac:dyDescent="0.3">
      <c r="A3" t="s">
        <v>145</v>
      </c>
      <c r="B3" t="s">
        <v>146</v>
      </c>
      <c r="C3" t="s">
        <v>147</v>
      </c>
      <c r="D3" t="s">
        <v>148</v>
      </c>
      <c r="E3" t="s">
        <v>101</v>
      </c>
      <c r="F3" t="s">
        <v>102</v>
      </c>
      <c r="G3" t="s">
        <v>103</v>
      </c>
    </row>
    <row r="4" spans="1:8" x14ac:dyDescent="0.3">
      <c r="A4" t="s">
        <v>149</v>
      </c>
      <c r="B4" t="s">
        <v>150</v>
      </c>
      <c r="C4" t="s">
        <v>151</v>
      </c>
      <c r="D4" t="s">
        <v>152</v>
      </c>
      <c r="E4" t="s">
        <v>153</v>
      </c>
      <c r="F4" t="s">
        <v>102</v>
      </c>
      <c r="G4" t="s">
        <v>103</v>
      </c>
    </row>
    <row r="5" spans="1:8" x14ac:dyDescent="0.3">
      <c r="A5" t="s">
        <v>154</v>
      </c>
      <c r="B5" t="s">
        <v>155</v>
      </c>
      <c r="C5" t="s">
        <v>156</v>
      </c>
      <c r="D5" t="s">
        <v>157</v>
      </c>
      <c r="E5" t="s">
        <v>153</v>
      </c>
      <c r="F5" t="s">
        <v>102</v>
      </c>
      <c r="G5" t="s">
        <v>103</v>
      </c>
    </row>
    <row r="6" spans="1:8" x14ac:dyDescent="0.3">
      <c r="A6" t="s">
        <v>158</v>
      </c>
      <c r="B6" t="s">
        <v>159</v>
      </c>
      <c r="C6" t="s">
        <v>160</v>
      </c>
      <c r="D6" t="s">
        <v>161</v>
      </c>
      <c r="E6" t="s">
        <v>101</v>
      </c>
      <c r="F6" t="s">
        <v>102</v>
      </c>
      <c r="G6" t="s">
        <v>103</v>
      </c>
    </row>
    <row r="7" spans="1:8" x14ac:dyDescent="0.3">
      <c r="A7" t="s">
        <v>162</v>
      </c>
      <c r="B7" t="s">
        <v>163</v>
      </c>
      <c r="C7" t="s">
        <v>164</v>
      </c>
      <c r="D7" t="s">
        <v>165</v>
      </c>
      <c r="E7" t="s">
        <v>101</v>
      </c>
      <c r="F7" t="s">
        <v>102</v>
      </c>
      <c r="G7" t="s">
        <v>103</v>
      </c>
    </row>
    <row r="8" spans="1:8" x14ac:dyDescent="0.3">
      <c r="A8" t="s">
        <v>166</v>
      </c>
      <c r="B8" t="s">
        <v>167</v>
      </c>
      <c r="C8" t="s">
        <v>168</v>
      </c>
      <c r="D8" t="s">
        <v>169</v>
      </c>
      <c r="E8" t="s">
        <v>101</v>
      </c>
      <c r="F8" t="s">
        <v>102</v>
      </c>
      <c r="G8" t="s">
        <v>103</v>
      </c>
    </row>
    <row r="9" spans="1:8" x14ac:dyDescent="0.3">
      <c r="A9" t="s">
        <v>170</v>
      </c>
      <c r="B9" t="s">
        <v>171</v>
      </c>
      <c r="C9" t="s">
        <v>172</v>
      </c>
      <c r="D9" t="s">
        <v>173</v>
      </c>
      <c r="E9" t="s">
        <v>101</v>
      </c>
      <c r="F9" t="s">
        <v>102</v>
      </c>
      <c r="G9" t="s">
        <v>103</v>
      </c>
    </row>
    <row r="10" spans="1:8" x14ac:dyDescent="0.3">
      <c r="A10" t="s">
        <v>174</v>
      </c>
      <c r="B10" t="s">
        <v>175</v>
      </c>
      <c r="C10" t="s">
        <v>176</v>
      </c>
      <c r="D10" t="s">
        <v>177</v>
      </c>
      <c r="E10" t="s">
        <v>101</v>
      </c>
      <c r="F10" t="s">
        <v>102</v>
      </c>
      <c r="G10" t="s">
        <v>103</v>
      </c>
    </row>
    <row r="11" spans="1:8" x14ac:dyDescent="0.3">
      <c r="A11" t="s">
        <v>104</v>
      </c>
      <c r="B11" t="s">
        <v>105</v>
      </c>
      <c r="C11" t="s">
        <v>106</v>
      </c>
      <c r="D11" t="s">
        <v>107</v>
      </c>
      <c r="E11" t="s">
        <v>101</v>
      </c>
      <c r="F11" t="s">
        <v>102</v>
      </c>
      <c r="G11" t="s">
        <v>103</v>
      </c>
    </row>
    <row r="12" spans="1:8" x14ac:dyDescent="0.3">
      <c r="A12" t="s">
        <v>108</v>
      </c>
      <c r="B12" t="s">
        <v>109</v>
      </c>
      <c r="C12" t="s">
        <v>110</v>
      </c>
      <c r="D12" t="s">
        <v>111</v>
      </c>
      <c r="E12" t="s">
        <v>101</v>
      </c>
      <c r="F12" t="s">
        <v>102</v>
      </c>
      <c r="G12" t="s">
        <v>103</v>
      </c>
    </row>
    <row r="13" spans="1:8" x14ac:dyDescent="0.3">
      <c r="A13" t="s">
        <v>112</v>
      </c>
      <c r="B13" t="s">
        <v>113</v>
      </c>
      <c r="C13" t="s">
        <v>114</v>
      </c>
      <c r="D13" t="s">
        <v>115</v>
      </c>
      <c r="E13" t="s">
        <v>116</v>
      </c>
      <c r="F13" t="s">
        <v>102</v>
      </c>
      <c r="G13" t="s">
        <v>103</v>
      </c>
    </row>
    <row r="14" spans="1:8" x14ac:dyDescent="0.3">
      <c r="A14" t="s">
        <v>117</v>
      </c>
      <c r="B14" t="s">
        <v>118</v>
      </c>
      <c r="C14" t="s">
        <v>119</v>
      </c>
      <c r="D14" t="s">
        <v>120</v>
      </c>
      <c r="E14" t="s">
        <v>116</v>
      </c>
      <c r="F14" t="s">
        <v>102</v>
      </c>
      <c r="G14" t="s">
        <v>103</v>
      </c>
    </row>
    <row r="15" spans="1:8" x14ac:dyDescent="0.3">
      <c r="A15" t="s">
        <v>121</v>
      </c>
      <c r="B15" t="s">
        <v>122</v>
      </c>
      <c r="C15" t="s">
        <v>123</v>
      </c>
      <c r="D15" t="s">
        <v>124</v>
      </c>
      <c r="E15" t="s">
        <v>116</v>
      </c>
      <c r="F15" t="s">
        <v>102</v>
      </c>
      <c r="G15" t="s">
        <v>103</v>
      </c>
    </row>
    <row r="16" spans="1:8" x14ac:dyDescent="0.3">
      <c r="A16" t="s">
        <v>125</v>
      </c>
      <c r="B16" t="s">
        <v>126</v>
      </c>
      <c r="C16" t="s">
        <v>127</v>
      </c>
      <c r="D16" t="s">
        <v>128</v>
      </c>
      <c r="E16" t="s">
        <v>116</v>
      </c>
      <c r="F16" t="s">
        <v>102</v>
      </c>
      <c r="G16" t="s">
        <v>103</v>
      </c>
    </row>
    <row r="17" spans="1:7" x14ac:dyDescent="0.3">
      <c r="A17" t="s">
        <v>129</v>
      </c>
      <c r="B17" t="s">
        <v>130</v>
      </c>
      <c r="C17" t="s">
        <v>131</v>
      </c>
      <c r="D17" t="s">
        <v>132</v>
      </c>
      <c r="E17" t="s">
        <v>116</v>
      </c>
      <c r="F17" t="s">
        <v>102</v>
      </c>
      <c r="G17" t="s">
        <v>103</v>
      </c>
    </row>
    <row r="18" spans="1:7" x14ac:dyDescent="0.3">
      <c r="A18" t="s">
        <v>133</v>
      </c>
      <c r="B18" t="s">
        <v>134</v>
      </c>
      <c r="C18" t="s">
        <v>135</v>
      </c>
      <c r="D18" t="s">
        <v>136</v>
      </c>
      <c r="E18" t="s">
        <v>116</v>
      </c>
      <c r="F18" t="s">
        <v>102</v>
      </c>
      <c r="G18" t="s">
        <v>103</v>
      </c>
    </row>
    <row r="19" spans="1:7" x14ac:dyDescent="0.3">
      <c r="A19" t="s">
        <v>137</v>
      </c>
      <c r="B19" t="s">
        <v>138</v>
      </c>
      <c r="C19" t="s">
        <v>139</v>
      </c>
      <c r="D19" t="s">
        <v>140</v>
      </c>
      <c r="E19" t="s">
        <v>116</v>
      </c>
      <c r="F19" t="s">
        <v>102</v>
      </c>
      <c r="G19" t="s">
        <v>103</v>
      </c>
    </row>
    <row r="20" spans="1:7" x14ac:dyDescent="0.3">
      <c r="A20" t="s">
        <v>141</v>
      </c>
      <c r="B20" t="s">
        <v>142</v>
      </c>
      <c r="C20" t="s">
        <v>143</v>
      </c>
      <c r="D20" t="s">
        <v>144</v>
      </c>
      <c r="E20" t="s">
        <v>116</v>
      </c>
      <c r="F20" t="s">
        <v>102</v>
      </c>
      <c r="G20" t="s">
        <v>103</v>
      </c>
    </row>
    <row r="21" spans="1:7" x14ac:dyDescent="0.3">
      <c r="A21" t="s">
        <v>178</v>
      </c>
      <c r="B21" t="s">
        <v>179</v>
      </c>
      <c r="C21" t="s">
        <v>180</v>
      </c>
      <c r="D21" t="s">
        <v>181</v>
      </c>
      <c r="E21" t="s">
        <v>116</v>
      </c>
      <c r="F21" t="s">
        <v>102</v>
      </c>
      <c r="G21" t="s">
        <v>103</v>
      </c>
    </row>
    <row r="22" spans="1:7" x14ac:dyDescent="0.3">
      <c r="A22" t="s">
        <v>182</v>
      </c>
      <c r="B22" t="s">
        <v>183</v>
      </c>
      <c r="C22" t="s">
        <v>184</v>
      </c>
      <c r="D22" t="s">
        <v>185</v>
      </c>
      <c r="E22" t="s">
        <v>116</v>
      </c>
      <c r="F22" t="s">
        <v>102</v>
      </c>
      <c r="G22" t="s">
        <v>103</v>
      </c>
    </row>
    <row r="23" spans="1:7" x14ac:dyDescent="0.3">
      <c r="A23" t="s">
        <v>186</v>
      </c>
      <c r="B23" t="s">
        <v>187</v>
      </c>
      <c r="C23" t="s">
        <v>188</v>
      </c>
      <c r="D23" t="s">
        <v>189</v>
      </c>
      <c r="E23" t="s">
        <v>116</v>
      </c>
      <c r="F23" t="s">
        <v>102</v>
      </c>
      <c r="G23" t="s">
        <v>103</v>
      </c>
    </row>
    <row r="24" spans="1:7" x14ac:dyDescent="0.3">
      <c r="A24" t="s">
        <v>190</v>
      </c>
      <c r="B24" t="s">
        <v>191</v>
      </c>
      <c r="C24" t="s">
        <v>192</v>
      </c>
      <c r="D24" t="s">
        <v>193</v>
      </c>
      <c r="E24" t="s">
        <v>116</v>
      </c>
      <c r="F24" t="s">
        <v>102</v>
      </c>
      <c r="G24" t="s">
        <v>103</v>
      </c>
    </row>
    <row r="25" spans="1:7" x14ac:dyDescent="0.3">
      <c r="A25" t="s">
        <v>194</v>
      </c>
      <c r="B25" t="s">
        <v>195</v>
      </c>
      <c r="C25" t="s">
        <v>196</v>
      </c>
      <c r="D25" t="s">
        <v>197</v>
      </c>
      <c r="E25" t="s">
        <v>116</v>
      </c>
      <c r="F25" t="s">
        <v>102</v>
      </c>
      <c r="G25" t="s">
        <v>103</v>
      </c>
    </row>
    <row r="26" spans="1:7" x14ac:dyDescent="0.3">
      <c r="A26" t="s">
        <v>198</v>
      </c>
      <c r="B26" t="s">
        <v>199</v>
      </c>
      <c r="C26" t="s">
        <v>200</v>
      </c>
      <c r="D26" t="s">
        <v>201</v>
      </c>
      <c r="E26" t="s">
        <v>116</v>
      </c>
      <c r="F26" t="s">
        <v>102</v>
      </c>
      <c r="G26" t="s">
        <v>103</v>
      </c>
    </row>
    <row r="27" spans="1:7" x14ac:dyDescent="0.3">
      <c r="A27" t="s">
        <v>202</v>
      </c>
      <c r="B27" t="s">
        <v>203</v>
      </c>
      <c r="C27" t="s">
        <v>204</v>
      </c>
      <c r="D27" t="s">
        <v>205</v>
      </c>
      <c r="E27" t="s">
        <v>116</v>
      </c>
      <c r="F27" t="s">
        <v>102</v>
      </c>
      <c r="G27" t="s">
        <v>103</v>
      </c>
    </row>
    <row r="28" spans="1:7" x14ac:dyDescent="0.3">
      <c r="A28" t="s">
        <v>206</v>
      </c>
      <c r="B28" t="s">
        <v>207</v>
      </c>
      <c r="C28" t="s">
        <v>208</v>
      </c>
      <c r="D28" t="s">
        <v>209</v>
      </c>
      <c r="E28" t="s">
        <v>116</v>
      </c>
      <c r="F28" t="s">
        <v>102</v>
      </c>
      <c r="G28" t="s">
        <v>103</v>
      </c>
    </row>
    <row r="29" spans="1:7" x14ac:dyDescent="0.3">
      <c r="A29" t="s">
        <v>210</v>
      </c>
      <c r="B29" t="s">
        <v>211</v>
      </c>
      <c r="C29" t="s">
        <v>212</v>
      </c>
      <c r="D29" t="s">
        <v>213</v>
      </c>
      <c r="E29" t="s">
        <v>116</v>
      </c>
      <c r="F29" t="s">
        <v>102</v>
      </c>
      <c r="G29" t="s">
        <v>103</v>
      </c>
    </row>
    <row r="30" spans="1:7" x14ac:dyDescent="0.3">
      <c r="A30" t="s">
        <v>214</v>
      </c>
      <c r="B30" t="s">
        <v>215</v>
      </c>
      <c r="C30" t="s">
        <v>216</v>
      </c>
      <c r="D30" t="s">
        <v>217</v>
      </c>
      <c r="E30" t="s">
        <v>116</v>
      </c>
      <c r="F30" t="s">
        <v>102</v>
      </c>
      <c r="G30" t="s">
        <v>103</v>
      </c>
    </row>
    <row r="31" spans="1:7" x14ac:dyDescent="0.3">
      <c r="A31" t="s">
        <v>218</v>
      </c>
      <c r="B31" t="s">
        <v>219</v>
      </c>
      <c r="C31" t="s">
        <v>220</v>
      </c>
      <c r="D31" t="s">
        <v>221</v>
      </c>
      <c r="E31" t="s">
        <v>116</v>
      </c>
      <c r="F31" t="s">
        <v>102</v>
      </c>
      <c r="G31" t="s">
        <v>103</v>
      </c>
    </row>
    <row r="32" spans="1:7" x14ac:dyDescent="0.3">
      <c r="A32" t="s">
        <v>222</v>
      </c>
      <c r="B32" t="s">
        <v>223</v>
      </c>
      <c r="C32" t="s">
        <v>224</v>
      </c>
      <c r="D32" t="s">
        <v>225</v>
      </c>
      <c r="E32" t="s">
        <v>116</v>
      </c>
      <c r="F32" t="s">
        <v>102</v>
      </c>
      <c r="G32" t="s">
        <v>103</v>
      </c>
    </row>
    <row r="33" spans="1:8" x14ac:dyDescent="0.3">
      <c r="A33" t="s">
        <v>226</v>
      </c>
      <c r="B33" t="s">
        <v>227</v>
      </c>
      <c r="C33" t="s">
        <v>228</v>
      </c>
      <c r="D33" t="s">
        <v>229</v>
      </c>
      <c r="E33" t="s">
        <v>101</v>
      </c>
      <c r="F33" t="s">
        <v>102</v>
      </c>
      <c r="G33" t="s">
        <v>103</v>
      </c>
    </row>
    <row r="34" spans="1:8" x14ac:dyDescent="0.3">
      <c r="A34" t="s">
        <v>230</v>
      </c>
      <c r="B34" t="s">
        <v>231</v>
      </c>
      <c r="C34" t="s">
        <v>232</v>
      </c>
      <c r="D34" t="s">
        <v>233</v>
      </c>
      <c r="E34" t="s">
        <v>101</v>
      </c>
      <c r="F34" t="s">
        <v>102</v>
      </c>
      <c r="G34" t="s">
        <v>103</v>
      </c>
    </row>
    <row r="35" spans="1:8" x14ac:dyDescent="0.3">
      <c r="A35" t="s">
        <v>234</v>
      </c>
      <c r="B35" t="s">
        <v>235</v>
      </c>
      <c r="C35" t="s">
        <v>236</v>
      </c>
      <c r="D35" t="s">
        <v>237</v>
      </c>
      <c r="E35" t="s">
        <v>101</v>
      </c>
      <c r="F35" t="s">
        <v>102</v>
      </c>
      <c r="G35" t="s">
        <v>103</v>
      </c>
    </row>
    <row r="36" spans="1:8" x14ac:dyDescent="0.3">
      <c r="A36" t="s">
        <v>238</v>
      </c>
      <c r="B36" t="s">
        <v>239</v>
      </c>
      <c r="C36" t="s">
        <v>240</v>
      </c>
      <c r="D36" t="s">
        <v>241</v>
      </c>
      <c r="E36" t="s">
        <v>101</v>
      </c>
      <c r="F36" t="s">
        <v>102</v>
      </c>
      <c r="G36" t="s">
        <v>103</v>
      </c>
    </row>
    <row r="37" spans="1:8" x14ac:dyDescent="0.3">
      <c r="A37" t="s">
        <v>242</v>
      </c>
      <c r="B37" t="s">
        <v>243</v>
      </c>
      <c r="C37" t="s">
        <v>244</v>
      </c>
      <c r="D37" t="s">
        <v>245</v>
      </c>
      <c r="E37" t="s">
        <v>101</v>
      </c>
      <c r="F37" t="s">
        <v>102</v>
      </c>
      <c r="G37" t="s">
        <v>103</v>
      </c>
    </row>
    <row r="38" spans="1:8" x14ac:dyDescent="0.3">
      <c r="A38" t="s">
        <v>246</v>
      </c>
      <c r="B38" t="s">
        <v>247</v>
      </c>
      <c r="C38" t="s">
        <v>248</v>
      </c>
      <c r="D38" t="s">
        <v>249</v>
      </c>
      <c r="E38" t="s">
        <v>101</v>
      </c>
      <c r="F38" t="s">
        <v>102</v>
      </c>
      <c r="G38" t="s">
        <v>103</v>
      </c>
    </row>
    <row r="39" spans="1:8" x14ac:dyDescent="0.3">
      <c r="A39" t="s">
        <v>250</v>
      </c>
      <c r="B39" t="s">
        <v>251</v>
      </c>
      <c r="C39" t="s">
        <v>252</v>
      </c>
      <c r="D39" t="s">
        <v>253</v>
      </c>
      <c r="E39" t="s">
        <v>101</v>
      </c>
      <c r="F39" t="s">
        <v>102</v>
      </c>
      <c r="G39" t="s">
        <v>103</v>
      </c>
    </row>
    <row r="40" spans="1:8" x14ac:dyDescent="0.3">
      <c r="A40" t="s">
        <v>254</v>
      </c>
      <c r="B40" t="s">
        <v>255</v>
      </c>
      <c r="C40" t="s">
        <v>256</v>
      </c>
      <c r="D40" t="s">
        <v>257</v>
      </c>
      <c r="E40" t="s">
        <v>101</v>
      </c>
      <c r="F40" t="s">
        <v>102</v>
      </c>
      <c r="G40" t="s">
        <v>103</v>
      </c>
    </row>
    <row r="41" spans="1:8" x14ac:dyDescent="0.3">
      <c r="A41" t="s">
        <v>258</v>
      </c>
      <c r="B41" t="s">
        <v>259</v>
      </c>
      <c r="C41" t="s">
        <v>260</v>
      </c>
      <c r="D41" t="s">
        <v>261</v>
      </c>
      <c r="E41" t="s">
        <v>101</v>
      </c>
      <c r="F41" t="s">
        <v>102</v>
      </c>
      <c r="G41" t="s">
        <v>103</v>
      </c>
    </row>
    <row r="42" spans="1:8" x14ac:dyDescent="0.3">
      <c r="A42" t="s">
        <v>262</v>
      </c>
      <c r="B42" t="s">
        <v>263</v>
      </c>
      <c r="C42" t="s">
        <v>264</v>
      </c>
      <c r="D42" t="s">
        <v>265</v>
      </c>
      <c r="E42" t="s">
        <v>101</v>
      </c>
      <c r="F42" t="s">
        <v>102</v>
      </c>
      <c r="G42" t="s">
        <v>103</v>
      </c>
    </row>
    <row r="43" spans="1:8" x14ac:dyDescent="0.3">
      <c r="A43" t="s">
        <v>266</v>
      </c>
      <c r="B43" t="s">
        <v>267</v>
      </c>
      <c r="C43" t="s">
        <v>268</v>
      </c>
      <c r="D43" t="s">
        <v>269</v>
      </c>
      <c r="E43" t="s">
        <v>101</v>
      </c>
      <c r="F43" t="s">
        <v>102</v>
      </c>
      <c r="G43" t="s">
        <v>103</v>
      </c>
    </row>
    <row r="44" spans="1:8" x14ac:dyDescent="0.3">
      <c r="A44" t="s">
        <v>270</v>
      </c>
      <c r="B44" t="s">
        <v>271</v>
      </c>
      <c r="C44" t="s">
        <v>272</v>
      </c>
      <c r="D44" t="s">
        <v>273</v>
      </c>
      <c r="E44" t="s">
        <v>101</v>
      </c>
      <c r="F44" t="s">
        <v>102</v>
      </c>
      <c r="G44" t="s">
        <v>103</v>
      </c>
    </row>
    <row r="45" spans="1:8" x14ac:dyDescent="0.3">
      <c r="A45" t="s">
        <v>274</v>
      </c>
      <c r="B45" t="s">
        <v>275</v>
      </c>
      <c r="C45" t="s">
        <v>276</v>
      </c>
      <c r="D45" t="s">
        <v>277</v>
      </c>
      <c r="E45" t="s">
        <v>101</v>
      </c>
      <c r="F45" t="s">
        <v>102</v>
      </c>
      <c r="G45" t="s">
        <v>103</v>
      </c>
      <c r="H45" t="s">
        <v>278</v>
      </c>
    </row>
    <row r="46" spans="1:8" x14ac:dyDescent="0.3">
      <c r="A46" t="s">
        <v>279</v>
      </c>
      <c r="B46" t="s">
        <v>280</v>
      </c>
      <c r="C46" t="s">
        <v>281</v>
      </c>
      <c r="D46" t="s">
        <v>282</v>
      </c>
      <c r="E46" t="s">
        <v>101</v>
      </c>
      <c r="F46" t="s">
        <v>102</v>
      </c>
      <c r="G46" t="s">
        <v>103</v>
      </c>
      <c r="H46" t="s">
        <v>278</v>
      </c>
    </row>
    <row r="47" spans="1:8" x14ac:dyDescent="0.3">
      <c r="A47" t="s">
        <v>283</v>
      </c>
      <c r="B47" t="s">
        <v>284</v>
      </c>
      <c r="C47" t="s">
        <v>285</v>
      </c>
      <c r="D47" t="s">
        <v>286</v>
      </c>
      <c r="E47" t="s">
        <v>101</v>
      </c>
      <c r="F47" t="s">
        <v>102</v>
      </c>
      <c r="G47" t="s">
        <v>103</v>
      </c>
      <c r="H47" t="s">
        <v>278</v>
      </c>
    </row>
    <row r="48" spans="1:8" x14ac:dyDescent="0.3">
      <c r="A48" t="s">
        <v>287</v>
      </c>
      <c r="B48" t="s">
        <v>288</v>
      </c>
      <c r="C48" t="s">
        <v>289</v>
      </c>
      <c r="D48" t="s">
        <v>290</v>
      </c>
      <c r="E48" t="s">
        <v>101</v>
      </c>
      <c r="F48" t="s">
        <v>102</v>
      </c>
      <c r="G48" t="s">
        <v>103</v>
      </c>
      <c r="H48" t="s">
        <v>278</v>
      </c>
    </row>
    <row r="49" spans="1:8" x14ac:dyDescent="0.3">
      <c r="A49" t="s">
        <v>291</v>
      </c>
      <c r="B49" t="s">
        <v>292</v>
      </c>
      <c r="C49" t="s">
        <v>293</v>
      </c>
      <c r="D49" t="s">
        <v>294</v>
      </c>
      <c r="E49" t="s">
        <v>101</v>
      </c>
      <c r="F49" t="s">
        <v>102</v>
      </c>
      <c r="G49" t="s">
        <v>103</v>
      </c>
      <c r="H49" t="s">
        <v>278</v>
      </c>
    </row>
    <row r="50" spans="1:8" x14ac:dyDescent="0.3">
      <c r="A50" t="s">
        <v>295</v>
      </c>
      <c r="B50" t="s">
        <v>296</v>
      </c>
      <c r="C50" t="s">
        <v>297</v>
      </c>
      <c r="D50" t="s">
        <v>298</v>
      </c>
      <c r="E50" t="s">
        <v>101</v>
      </c>
      <c r="F50" t="s">
        <v>102</v>
      </c>
      <c r="G50" t="s">
        <v>103</v>
      </c>
      <c r="H50" t="s">
        <v>278</v>
      </c>
    </row>
    <row r="51" spans="1:8" x14ac:dyDescent="0.3">
      <c r="A51" t="s">
        <v>299</v>
      </c>
      <c r="B51" t="s">
        <v>300</v>
      </c>
      <c r="C51" t="s">
        <v>301</v>
      </c>
      <c r="D51" t="s">
        <v>302</v>
      </c>
      <c r="E51" t="s">
        <v>101</v>
      </c>
      <c r="F51" t="s">
        <v>102</v>
      </c>
      <c r="G51" t="s">
        <v>103</v>
      </c>
      <c r="H51" t="s">
        <v>278</v>
      </c>
    </row>
    <row r="52" spans="1:8" x14ac:dyDescent="0.3">
      <c r="A52" t="s">
        <v>303</v>
      </c>
      <c r="B52" t="s">
        <v>304</v>
      </c>
      <c r="C52" t="s">
        <v>305</v>
      </c>
      <c r="D52" t="s">
        <v>306</v>
      </c>
      <c r="E52" t="s">
        <v>101</v>
      </c>
      <c r="F52" t="s">
        <v>102</v>
      </c>
      <c r="G52" t="s">
        <v>103</v>
      </c>
      <c r="H52" t="s">
        <v>278</v>
      </c>
    </row>
    <row r="53" spans="1:8" x14ac:dyDescent="0.3">
      <c r="A53" t="s">
        <v>307</v>
      </c>
      <c r="B53" t="s">
        <v>308</v>
      </c>
      <c r="C53" t="s">
        <v>309</v>
      </c>
      <c r="D53" t="s">
        <v>310</v>
      </c>
      <c r="E53" t="s">
        <v>101</v>
      </c>
      <c r="F53" t="s">
        <v>102</v>
      </c>
      <c r="G53" t="s">
        <v>103</v>
      </c>
      <c r="H53" t="s">
        <v>278</v>
      </c>
    </row>
    <row r="54" spans="1:8" x14ac:dyDescent="0.3">
      <c r="A54" t="s">
        <v>311</v>
      </c>
      <c r="B54" t="s">
        <v>312</v>
      </c>
      <c r="C54" t="s">
        <v>313</v>
      </c>
      <c r="D54" t="s">
        <v>314</v>
      </c>
      <c r="E54" t="s">
        <v>101</v>
      </c>
      <c r="F54" t="s">
        <v>102</v>
      </c>
      <c r="G54" t="s">
        <v>103</v>
      </c>
      <c r="H54" t="s">
        <v>278</v>
      </c>
    </row>
    <row r="55" spans="1:8" x14ac:dyDescent="0.3">
      <c r="A55" t="s">
        <v>315</v>
      </c>
      <c r="B55" t="s">
        <v>316</v>
      </c>
      <c r="C55" t="s">
        <v>317</v>
      </c>
      <c r="D55" t="s">
        <v>318</v>
      </c>
      <c r="E55" t="s">
        <v>101</v>
      </c>
      <c r="F55" t="s">
        <v>102</v>
      </c>
      <c r="G55" t="s">
        <v>103</v>
      </c>
      <c r="H55" t="s">
        <v>278</v>
      </c>
    </row>
    <row r="56" spans="1:8" x14ac:dyDescent="0.3">
      <c r="A56" t="s">
        <v>319</v>
      </c>
      <c r="B56" t="s">
        <v>320</v>
      </c>
      <c r="C56" t="s">
        <v>321</v>
      </c>
      <c r="D56" t="s">
        <v>322</v>
      </c>
      <c r="E56" t="s">
        <v>101</v>
      </c>
      <c r="F56" t="s">
        <v>102</v>
      </c>
      <c r="G56" t="s">
        <v>103</v>
      </c>
      <c r="H56" t="s">
        <v>278</v>
      </c>
    </row>
    <row r="57" spans="1:8" x14ac:dyDescent="0.3">
      <c r="A57" t="s">
        <v>323</v>
      </c>
      <c r="B57" t="s">
        <v>324</v>
      </c>
      <c r="C57" t="s">
        <v>325</v>
      </c>
      <c r="D57" t="s">
        <v>326</v>
      </c>
      <c r="E57" t="s">
        <v>101</v>
      </c>
      <c r="F57" t="s">
        <v>102</v>
      </c>
      <c r="G57" t="s">
        <v>103</v>
      </c>
    </row>
    <row r="58" spans="1:8" x14ac:dyDescent="0.3">
      <c r="A58" t="s">
        <v>327</v>
      </c>
      <c r="B58" t="s">
        <v>328</v>
      </c>
      <c r="C58" t="s">
        <v>329</v>
      </c>
      <c r="D58" t="s">
        <v>330</v>
      </c>
      <c r="E58" t="s">
        <v>101</v>
      </c>
      <c r="F58" t="s">
        <v>102</v>
      </c>
      <c r="G58" t="s">
        <v>103</v>
      </c>
    </row>
    <row r="59" spans="1:8" x14ac:dyDescent="0.3">
      <c r="A59" t="s">
        <v>331</v>
      </c>
      <c r="B59" t="s">
        <v>332</v>
      </c>
      <c r="C59" t="s">
        <v>333</v>
      </c>
      <c r="D59" t="s">
        <v>334</v>
      </c>
      <c r="E59" t="s">
        <v>101</v>
      </c>
      <c r="F59" t="s">
        <v>102</v>
      </c>
      <c r="G59" t="s">
        <v>103</v>
      </c>
    </row>
    <row r="60" spans="1:8" x14ac:dyDescent="0.3">
      <c r="A60" t="s">
        <v>335</v>
      </c>
      <c r="B60" t="s">
        <v>336</v>
      </c>
      <c r="C60" t="s">
        <v>337</v>
      </c>
      <c r="D60" t="s">
        <v>338</v>
      </c>
      <c r="E60" t="s">
        <v>101</v>
      </c>
      <c r="F60" t="s">
        <v>102</v>
      </c>
      <c r="G60" t="s">
        <v>103</v>
      </c>
    </row>
    <row r="61" spans="1:8" x14ac:dyDescent="0.3">
      <c r="A61" t="s">
        <v>339</v>
      </c>
      <c r="B61" t="s">
        <v>340</v>
      </c>
      <c r="C61" t="s">
        <v>341</v>
      </c>
      <c r="D61" t="s">
        <v>342</v>
      </c>
      <c r="E61" t="s">
        <v>101</v>
      </c>
      <c r="F61" t="s">
        <v>102</v>
      </c>
      <c r="G61" t="s">
        <v>103</v>
      </c>
    </row>
    <row r="62" spans="1:8" x14ac:dyDescent="0.3">
      <c r="A62" t="s">
        <v>343</v>
      </c>
      <c r="B62" t="s">
        <v>344</v>
      </c>
      <c r="C62" t="s">
        <v>345</v>
      </c>
      <c r="D62" t="s">
        <v>346</v>
      </c>
      <c r="E62" t="s">
        <v>101</v>
      </c>
      <c r="F62" t="s">
        <v>102</v>
      </c>
      <c r="G62" t="s">
        <v>103</v>
      </c>
    </row>
    <row r="63" spans="1:8" x14ac:dyDescent="0.3">
      <c r="A63" t="s">
        <v>347</v>
      </c>
      <c r="B63" t="s">
        <v>348</v>
      </c>
      <c r="C63" t="s">
        <v>349</v>
      </c>
      <c r="D63" t="s">
        <v>350</v>
      </c>
      <c r="E63" t="s">
        <v>101</v>
      </c>
      <c r="F63" t="s">
        <v>102</v>
      </c>
      <c r="G63" t="s">
        <v>103</v>
      </c>
    </row>
    <row r="64" spans="1:8" x14ac:dyDescent="0.3">
      <c r="A64" t="s">
        <v>351</v>
      </c>
      <c r="B64" t="s">
        <v>352</v>
      </c>
      <c r="C64" t="s">
        <v>353</v>
      </c>
      <c r="D64" t="s">
        <v>354</v>
      </c>
      <c r="E64" t="s">
        <v>101</v>
      </c>
      <c r="F64" t="s">
        <v>102</v>
      </c>
      <c r="G64" t="s">
        <v>103</v>
      </c>
    </row>
    <row r="65" spans="1:8" x14ac:dyDescent="0.3">
      <c r="A65" t="s">
        <v>355</v>
      </c>
      <c r="B65" t="s">
        <v>356</v>
      </c>
      <c r="C65" t="s">
        <v>357</v>
      </c>
      <c r="D65" t="s">
        <v>358</v>
      </c>
      <c r="E65" t="s">
        <v>101</v>
      </c>
      <c r="F65" t="s">
        <v>102</v>
      </c>
      <c r="G65" t="s">
        <v>103</v>
      </c>
    </row>
    <row r="66" spans="1:8" x14ac:dyDescent="0.3">
      <c r="A66" t="s">
        <v>359</v>
      </c>
      <c r="B66" t="s">
        <v>360</v>
      </c>
      <c r="C66" t="s">
        <v>361</v>
      </c>
      <c r="D66" t="s">
        <v>362</v>
      </c>
      <c r="E66" t="s">
        <v>101</v>
      </c>
      <c r="F66" t="s">
        <v>102</v>
      </c>
      <c r="G66" t="s">
        <v>103</v>
      </c>
    </row>
    <row r="67" spans="1:8" x14ac:dyDescent="0.3">
      <c r="A67" t="s">
        <v>363</v>
      </c>
      <c r="B67" t="s">
        <v>364</v>
      </c>
      <c r="C67" t="s">
        <v>365</v>
      </c>
      <c r="D67" t="s">
        <v>366</v>
      </c>
      <c r="E67" t="s">
        <v>101</v>
      </c>
      <c r="F67" t="s">
        <v>102</v>
      </c>
      <c r="G67" t="s">
        <v>103</v>
      </c>
    </row>
    <row r="68" spans="1:8" x14ac:dyDescent="0.3">
      <c r="A68" t="s">
        <v>367</v>
      </c>
      <c r="B68" t="s">
        <v>368</v>
      </c>
      <c r="C68" t="s">
        <v>369</v>
      </c>
      <c r="D68" t="s">
        <v>370</v>
      </c>
      <c r="E68" t="s">
        <v>101</v>
      </c>
      <c r="F68" t="s">
        <v>102</v>
      </c>
      <c r="G68" t="s">
        <v>103</v>
      </c>
    </row>
    <row r="69" spans="1:8" x14ac:dyDescent="0.3">
      <c r="A69" t="s">
        <v>371</v>
      </c>
      <c r="B69" t="s">
        <v>372</v>
      </c>
      <c r="C69" t="s">
        <v>373</v>
      </c>
      <c r="D69" s="2" t="s">
        <v>374</v>
      </c>
      <c r="E69" t="s">
        <v>375</v>
      </c>
      <c r="F69" t="s">
        <v>376</v>
      </c>
      <c r="G69" t="s">
        <v>377</v>
      </c>
      <c r="H69" t="s">
        <v>378</v>
      </c>
    </row>
    <row r="70" spans="1:8" x14ac:dyDescent="0.3">
      <c r="A70" t="s">
        <v>379</v>
      </c>
      <c r="B70" t="s">
        <v>380</v>
      </c>
      <c r="C70" t="s">
        <v>381</v>
      </c>
      <c r="D70" s="2" t="s">
        <v>382</v>
      </c>
      <c r="E70" t="s">
        <v>383</v>
      </c>
      <c r="F70" t="s">
        <v>376</v>
      </c>
      <c r="G70" t="s">
        <v>377</v>
      </c>
      <c r="H70" t="s">
        <v>378</v>
      </c>
    </row>
    <row r="71" spans="1:8" x14ac:dyDescent="0.3">
      <c r="A71" t="s">
        <v>384</v>
      </c>
      <c r="B71" t="s">
        <v>385</v>
      </c>
      <c r="C71" t="s">
        <v>386</v>
      </c>
      <c r="D71" s="2" t="s">
        <v>387</v>
      </c>
      <c r="E71" t="s">
        <v>388</v>
      </c>
      <c r="F71" t="s">
        <v>376</v>
      </c>
      <c r="G71" t="s">
        <v>377</v>
      </c>
      <c r="H71" t="s">
        <v>378</v>
      </c>
    </row>
    <row r="72" spans="1:8" x14ac:dyDescent="0.3">
      <c r="A72" t="s">
        <v>389</v>
      </c>
      <c r="B72" t="s">
        <v>390</v>
      </c>
      <c r="C72" t="s">
        <v>391</v>
      </c>
      <c r="D72" s="2" t="s">
        <v>392</v>
      </c>
      <c r="E72" t="s">
        <v>388</v>
      </c>
      <c r="F72" t="s">
        <v>376</v>
      </c>
      <c r="G72" t="s">
        <v>377</v>
      </c>
      <c r="H72" t="s">
        <v>378</v>
      </c>
    </row>
    <row r="73" spans="1:8" x14ac:dyDescent="0.3">
      <c r="A73" t="s">
        <v>393</v>
      </c>
      <c r="B73" t="s">
        <v>394</v>
      </c>
      <c r="C73" t="s">
        <v>395</v>
      </c>
      <c r="D73" s="2" t="s">
        <v>396</v>
      </c>
      <c r="E73" t="s">
        <v>397</v>
      </c>
      <c r="F73" t="s">
        <v>376</v>
      </c>
      <c r="G73" t="s">
        <v>377</v>
      </c>
      <c r="H73" t="s">
        <v>378</v>
      </c>
    </row>
    <row r="74" spans="1:8" x14ac:dyDescent="0.3">
      <c r="A74" t="s">
        <v>398</v>
      </c>
      <c r="B74" t="s">
        <v>399</v>
      </c>
      <c r="C74" t="s">
        <v>400</v>
      </c>
      <c r="D74" s="2" t="s">
        <v>401</v>
      </c>
      <c r="E74" t="s">
        <v>397</v>
      </c>
      <c r="F74" t="s">
        <v>376</v>
      </c>
      <c r="G74" t="s">
        <v>377</v>
      </c>
      <c r="H74" t="s">
        <v>378</v>
      </c>
    </row>
    <row r="75" spans="1:8" x14ac:dyDescent="0.3">
      <c r="A75" t="s">
        <v>402</v>
      </c>
      <c r="B75" t="s">
        <v>403</v>
      </c>
      <c r="C75" t="s">
        <v>404</v>
      </c>
      <c r="D75" s="2" t="s">
        <v>405</v>
      </c>
      <c r="E75" t="s">
        <v>388</v>
      </c>
      <c r="F75" t="s">
        <v>376</v>
      </c>
      <c r="G75" t="s">
        <v>377</v>
      </c>
      <c r="H75" t="s">
        <v>378</v>
      </c>
    </row>
    <row r="76" spans="1:8" x14ac:dyDescent="0.3">
      <c r="A76" t="s">
        <v>406</v>
      </c>
      <c r="B76" t="s">
        <v>407</v>
      </c>
      <c r="C76" t="s">
        <v>408</v>
      </c>
      <c r="D76" s="2" t="s">
        <v>409</v>
      </c>
      <c r="E76" t="s">
        <v>410</v>
      </c>
      <c r="F76" t="s">
        <v>376</v>
      </c>
      <c r="G76" t="s">
        <v>377</v>
      </c>
      <c r="H76" t="s">
        <v>378</v>
      </c>
    </row>
    <row r="77" spans="1:8" x14ac:dyDescent="0.3">
      <c r="A77" t="s">
        <v>411</v>
      </c>
      <c r="B77" t="s">
        <v>412</v>
      </c>
      <c r="C77" t="s">
        <v>413</v>
      </c>
      <c r="D77" s="2" t="s">
        <v>414</v>
      </c>
      <c r="E77" t="s">
        <v>383</v>
      </c>
      <c r="F77" t="s">
        <v>376</v>
      </c>
      <c r="G77" t="s">
        <v>377</v>
      </c>
      <c r="H77" t="s">
        <v>378</v>
      </c>
    </row>
    <row r="78" spans="1:8" x14ac:dyDescent="0.3">
      <c r="A78" t="s">
        <v>415</v>
      </c>
      <c r="B78" t="s">
        <v>416</v>
      </c>
      <c r="C78" t="s">
        <v>417</v>
      </c>
      <c r="D78" s="2" t="s">
        <v>418</v>
      </c>
      <c r="E78" t="s">
        <v>419</v>
      </c>
      <c r="F78" t="s">
        <v>376</v>
      </c>
      <c r="G78" t="s">
        <v>377</v>
      </c>
      <c r="H78" t="s">
        <v>378</v>
      </c>
    </row>
    <row r="79" spans="1:8" x14ac:dyDescent="0.3">
      <c r="A79" t="s">
        <v>420</v>
      </c>
      <c r="B79" t="s">
        <v>421</v>
      </c>
      <c r="C79" t="s">
        <v>422</v>
      </c>
      <c r="D79" s="2" t="s">
        <v>423</v>
      </c>
      <c r="E79" t="s">
        <v>388</v>
      </c>
      <c r="F79" t="s">
        <v>376</v>
      </c>
      <c r="G79" t="s">
        <v>377</v>
      </c>
      <c r="H79" t="s">
        <v>378</v>
      </c>
    </row>
    <row r="80" spans="1:8" x14ac:dyDescent="0.3">
      <c r="A80" t="s">
        <v>424</v>
      </c>
      <c r="B80" t="s">
        <v>425</v>
      </c>
      <c r="C80" t="s">
        <v>426</v>
      </c>
      <c r="D80" s="2" t="s">
        <v>427</v>
      </c>
      <c r="E80" t="s">
        <v>428</v>
      </c>
      <c r="F80" t="s">
        <v>376</v>
      </c>
      <c r="G80" t="s">
        <v>377</v>
      </c>
      <c r="H80" t="s">
        <v>378</v>
      </c>
    </row>
    <row r="81" spans="1:8" x14ac:dyDescent="0.3">
      <c r="A81" t="s">
        <v>429</v>
      </c>
      <c r="B81" t="s">
        <v>430</v>
      </c>
      <c r="C81" t="s">
        <v>431</v>
      </c>
      <c r="D81" s="2" t="s">
        <v>432</v>
      </c>
      <c r="E81" t="s">
        <v>433</v>
      </c>
      <c r="F81" t="s">
        <v>376</v>
      </c>
      <c r="G81" t="s">
        <v>377</v>
      </c>
      <c r="H81" t="s">
        <v>378</v>
      </c>
    </row>
    <row r="82" spans="1:8" x14ac:dyDescent="0.3">
      <c r="A82" t="s">
        <v>434</v>
      </c>
      <c r="B82" t="s">
        <v>435</v>
      </c>
      <c r="C82" t="s">
        <v>436</v>
      </c>
      <c r="D82" s="2" t="s">
        <v>437</v>
      </c>
      <c r="E82" t="s">
        <v>388</v>
      </c>
      <c r="F82" t="s">
        <v>376</v>
      </c>
      <c r="G82" t="s">
        <v>377</v>
      </c>
      <c r="H82" t="s">
        <v>378</v>
      </c>
    </row>
    <row r="83" spans="1:8" x14ac:dyDescent="0.3">
      <c r="A83" t="s">
        <v>438</v>
      </c>
      <c r="B83" t="s">
        <v>439</v>
      </c>
      <c r="C83" t="s">
        <v>440</v>
      </c>
      <c r="D83" s="2" t="s">
        <v>441</v>
      </c>
      <c r="E83" t="s">
        <v>388</v>
      </c>
      <c r="F83" t="s">
        <v>376</v>
      </c>
      <c r="G83" t="s">
        <v>377</v>
      </c>
      <c r="H83" t="s">
        <v>378</v>
      </c>
    </row>
    <row r="84" spans="1:8" x14ac:dyDescent="0.3">
      <c r="A84" t="s">
        <v>442</v>
      </c>
      <c r="B84" t="s">
        <v>443</v>
      </c>
      <c r="C84" t="s">
        <v>444</v>
      </c>
      <c r="D84" s="2" t="s">
        <v>445</v>
      </c>
      <c r="E84" t="s">
        <v>397</v>
      </c>
      <c r="F84" t="s">
        <v>376</v>
      </c>
      <c r="G84" t="s">
        <v>377</v>
      </c>
      <c r="H84" t="s">
        <v>378</v>
      </c>
    </row>
    <row r="85" spans="1:8" x14ac:dyDescent="0.3">
      <c r="A85" t="s">
        <v>446</v>
      </c>
      <c r="B85" t="s">
        <v>447</v>
      </c>
      <c r="C85" t="s">
        <v>448</v>
      </c>
      <c r="D85" s="2" t="s">
        <v>449</v>
      </c>
      <c r="E85" t="s">
        <v>383</v>
      </c>
      <c r="F85" t="s">
        <v>376</v>
      </c>
      <c r="G85" t="s">
        <v>377</v>
      </c>
      <c r="H85" t="s">
        <v>378</v>
      </c>
    </row>
    <row r="86" spans="1:8" x14ac:dyDescent="0.3">
      <c r="A86" t="s">
        <v>450</v>
      </c>
      <c r="B86" t="s">
        <v>451</v>
      </c>
      <c r="C86" t="s">
        <v>452</v>
      </c>
      <c r="D86" s="2" t="s">
        <v>453</v>
      </c>
      <c r="E86" t="s">
        <v>388</v>
      </c>
      <c r="F86" t="s">
        <v>376</v>
      </c>
      <c r="G86" t="s">
        <v>377</v>
      </c>
      <c r="H86" t="s">
        <v>378</v>
      </c>
    </row>
    <row r="87" spans="1:8" x14ac:dyDescent="0.3">
      <c r="A87" t="s">
        <v>454</v>
      </c>
      <c r="B87" t="s">
        <v>455</v>
      </c>
      <c r="C87" t="s">
        <v>456</v>
      </c>
      <c r="D87" s="2" t="s">
        <v>457</v>
      </c>
      <c r="E87" t="s">
        <v>388</v>
      </c>
      <c r="F87" t="s">
        <v>376</v>
      </c>
      <c r="G87" t="s">
        <v>377</v>
      </c>
      <c r="H87" t="s">
        <v>378</v>
      </c>
    </row>
    <row r="88" spans="1:8" x14ac:dyDescent="0.3">
      <c r="A88" t="s">
        <v>458</v>
      </c>
      <c r="B88" t="s">
        <v>459</v>
      </c>
      <c r="C88" t="s">
        <v>460</v>
      </c>
      <c r="D88" s="2" t="s">
        <v>461</v>
      </c>
      <c r="E88" t="s">
        <v>397</v>
      </c>
      <c r="F88" t="s">
        <v>376</v>
      </c>
      <c r="G88" t="s">
        <v>377</v>
      </c>
      <c r="H88" t="s">
        <v>378</v>
      </c>
    </row>
    <row r="89" spans="1:8" x14ac:dyDescent="0.3">
      <c r="A89" t="s">
        <v>462</v>
      </c>
      <c r="B89" t="s">
        <v>463</v>
      </c>
      <c r="C89" t="s">
        <v>464</v>
      </c>
      <c r="D89" s="2" t="s">
        <v>465</v>
      </c>
      <c r="E89" t="s">
        <v>397</v>
      </c>
      <c r="F89" t="s">
        <v>376</v>
      </c>
      <c r="G89" t="s">
        <v>377</v>
      </c>
      <c r="H89" t="s">
        <v>378</v>
      </c>
    </row>
    <row r="90" spans="1:8" x14ac:dyDescent="0.3">
      <c r="A90" t="s">
        <v>466</v>
      </c>
      <c r="B90" t="s">
        <v>467</v>
      </c>
      <c r="C90" t="s">
        <v>468</v>
      </c>
      <c r="D90" s="2" t="s">
        <v>469</v>
      </c>
      <c r="E90" t="s">
        <v>388</v>
      </c>
      <c r="F90" t="s">
        <v>376</v>
      </c>
      <c r="G90" t="s">
        <v>377</v>
      </c>
      <c r="H90" t="s">
        <v>378</v>
      </c>
    </row>
    <row r="91" spans="1:8" x14ac:dyDescent="0.3">
      <c r="A91" t="s">
        <v>470</v>
      </c>
      <c r="B91" t="s">
        <v>471</v>
      </c>
      <c r="C91" t="s">
        <v>472</v>
      </c>
      <c r="D91" s="2" t="s">
        <v>473</v>
      </c>
      <c r="E91" t="s">
        <v>410</v>
      </c>
      <c r="F91" t="s">
        <v>376</v>
      </c>
      <c r="G91" t="s">
        <v>377</v>
      </c>
      <c r="H91" t="s">
        <v>378</v>
      </c>
    </row>
    <row r="92" spans="1:8" x14ac:dyDescent="0.3">
      <c r="A92" t="s">
        <v>474</v>
      </c>
      <c r="B92" t="s">
        <v>475</v>
      </c>
      <c r="C92" t="s">
        <v>476</v>
      </c>
      <c r="D92" s="2" t="s">
        <v>477</v>
      </c>
      <c r="E92" t="s">
        <v>383</v>
      </c>
      <c r="F92" t="s">
        <v>376</v>
      </c>
      <c r="G92" t="s">
        <v>377</v>
      </c>
      <c r="H92" t="s">
        <v>378</v>
      </c>
    </row>
    <row r="93" spans="1:8" x14ac:dyDescent="0.3">
      <c r="A93" t="s">
        <v>478</v>
      </c>
      <c r="B93" t="s">
        <v>479</v>
      </c>
      <c r="C93" t="s">
        <v>480</v>
      </c>
      <c r="D93" s="2" t="s">
        <v>481</v>
      </c>
      <c r="E93" t="s">
        <v>419</v>
      </c>
      <c r="F93" t="s">
        <v>376</v>
      </c>
      <c r="G93" t="s">
        <v>377</v>
      </c>
      <c r="H93" t="s">
        <v>378</v>
      </c>
    </row>
    <row r="94" spans="1:8" x14ac:dyDescent="0.3">
      <c r="A94" t="s">
        <v>482</v>
      </c>
      <c r="B94" t="s">
        <v>483</v>
      </c>
      <c r="C94" t="s">
        <v>484</v>
      </c>
      <c r="D94" s="2" t="s">
        <v>485</v>
      </c>
      <c r="E94" t="s">
        <v>388</v>
      </c>
      <c r="F94" t="s">
        <v>376</v>
      </c>
      <c r="G94" t="s">
        <v>377</v>
      </c>
      <c r="H94" t="s">
        <v>378</v>
      </c>
    </row>
    <row r="95" spans="1:8" x14ac:dyDescent="0.3">
      <c r="A95" t="s">
        <v>486</v>
      </c>
      <c r="B95" t="s">
        <v>487</v>
      </c>
      <c r="C95" t="s">
        <v>488</v>
      </c>
      <c r="D95" s="2" t="s">
        <v>489</v>
      </c>
      <c r="E95" t="s">
        <v>428</v>
      </c>
      <c r="F95" t="s">
        <v>376</v>
      </c>
      <c r="G95" t="s">
        <v>377</v>
      </c>
      <c r="H95" t="s">
        <v>378</v>
      </c>
    </row>
    <row r="96" spans="1:8" x14ac:dyDescent="0.3">
      <c r="A96" t="s">
        <v>490</v>
      </c>
      <c r="B96" t="s">
        <v>491</v>
      </c>
      <c r="C96" t="s">
        <v>492</v>
      </c>
      <c r="D96" s="2" t="s">
        <v>493</v>
      </c>
      <c r="E96" t="s">
        <v>433</v>
      </c>
      <c r="F96" t="s">
        <v>376</v>
      </c>
      <c r="G96" t="s">
        <v>377</v>
      </c>
      <c r="H96" t="s">
        <v>378</v>
      </c>
    </row>
    <row r="97" spans="1:8" x14ac:dyDescent="0.3">
      <c r="A97" t="s">
        <v>494</v>
      </c>
      <c r="B97" t="s">
        <v>495</v>
      </c>
      <c r="C97" t="s">
        <v>496</v>
      </c>
      <c r="D97" s="2" t="s">
        <v>497</v>
      </c>
      <c r="E97" t="s">
        <v>388</v>
      </c>
      <c r="F97" t="s">
        <v>376</v>
      </c>
      <c r="G97" t="s">
        <v>377</v>
      </c>
      <c r="H97" t="s">
        <v>378</v>
      </c>
    </row>
    <row r="98" spans="1:8" x14ac:dyDescent="0.3">
      <c r="A98" t="s">
        <v>498</v>
      </c>
      <c r="B98" t="s">
        <v>499</v>
      </c>
      <c r="C98" t="s">
        <v>500</v>
      </c>
      <c r="D98" s="2" t="s">
        <v>501</v>
      </c>
      <c r="E98" t="s">
        <v>388</v>
      </c>
      <c r="F98" t="s">
        <v>376</v>
      </c>
      <c r="G98" t="s">
        <v>377</v>
      </c>
      <c r="H98" t="s">
        <v>378</v>
      </c>
    </row>
    <row r="99" spans="1:8" x14ac:dyDescent="0.3">
      <c r="A99" t="s">
        <v>502</v>
      </c>
      <c r="B99" t="s">
        <v>503</v>
      </c>
      <c r="C99" t="s">
        <v>504</v>
      </c>
      <c r="D99" s="2" t="s">
        <v>505</v>
      </c>
      <c r="E99" t="s">
        <v>397</v>
      </c>
      <c r="F99" t="s">
        <v>376</v>
      </c>
      <c r="G99" t="s">
        <v>377</v>
      </c>
      <c r="H99" t="s">
        <v>378</v>
      </c>
    </row>
    <row r="100" spans="1:8" x14ac:dyDescent="0.3">
      <c r="A100" t="s">
        <v>506</v>
      </c>
      <c r="B100" t="s">
        <v>507</v>
      </c>
      <c r="C100" t="s">
        <v>508</v>
      </c>
      <c r="D100" s="3" t="s">
        <v>509</v>
      </c>
      <c r="E100" t="s">
        <v>510</v>
      </c>
      <c r="F100" t="s">
        <v>511</v>
      </c>
      <c r="G100" t="s">
        <v>512</v>
      </c>
      <c r="H100" t="s">
        <v>513</v>
      </c>
    </row>
    <row r="101" spans="1:8" x14ac:dyDescent="0.3">
      <c r="A101" t="s">
        <v>514</v>
      </c>
      <c r="B101" t="s">
        <v>515</v>
      </c>
      <c r="C101" t="s">
        <v>516</v>
      </c>
      <c r="D101" s="3" t="s">
        <v>517</v>
      </c>
      <c r="E101" t="s">
        <v>518</v>
      </c>
      <c r="F101" t="s">
        <v>519</v>
      </c>
      <c r="H101" t="s">
        <v>513</v>
      </c>
    </row>
    <row r="102" spans="1:8" x14ac:dyDescent="0.3">
      <c r="A102" t="s">
        <v>520</v>
      </c>
      <c r="B102" t="s">
        <v>521</v>
      </c>
      <c r="C102" t="s">
        <v>522</v>
      </c>
      <c r="D102" s="3" t="s">
        <v>523</v>
      </c>
      <c r="F102" t="s">
        <v>519</v>
      </c>
      <c r="H102" t="s">
        <v>513</v>
      </c>
    </row>
    <row r="103" spans="1:8" x14ac:dyDescent="0.3">
      <c r="A103" t="s">
        <v>524</v>
      </c>
      <c r="B103" t="s">
        <v>525</v>
      </c>
      <c r="C103" t="s">
        <v>526</v>
      </c>
      <c r="D103" s="3" t="s">
        <v>527</v>
      </c>
      <c r="F103" t="s">
        <v>519</v>
      </c>
      <c r="H103" t="s">
        <v>513</v>
      </c>
    </row>
    <row r="104" spans="1:8" x14ac:dyDescent="0.3">
      <c r="A104" t="s">
        <v>528</v>
      </c>
      <c r="B104" t="s">
        <v>529</v>
      </c>
      <c r="C104" t="s">
        <v>530</v>
      </c>
      <c r="D104" s="3" t="s">
        <v>531</v>
      </c>
      <c r="E104" t="s">
        <v>518</v>
      </c>
      <c r="F104" t="s">
        <v>519</v>
      </c>
      <c r="H104" t="s">
        <v>513</v>
      </c>
    </row>
    <row r="105" spans="1:8" x14ac:dyDescent="0.3">
      <c r="A105" t="s">
        <v>1008</v>
      </c>
      <c r="B105" t="s">
        <v>1009</v>
      </c>
      <c r="C105" t="s">
        <v>1010</v>
      </c>
      <c r="D105" t="s">
        <v>961</v>
      </c>
      <c r="E105" t="s">
        <v>1011</v>
      </c>
      <c r="F105" t="s">
        <v>1012</v>
      </c>
      <c r="G105" t="s">
        <v>1013</v>
      </c>
      <c r="H105" t="s">
        <v>103</v>
      </c>
    </row>
    <row r="106" spans="1:8" x14ac:dyDescent="0.3">
      <c r="A106" t="s">
        <v>1014</v>
      </c>
      <c r="B106" t="s">
        <v>1015</v>
      </c>
      <c r="C106" t="s">
        <v>1016</v>
      </c>
      <c r="D106" t="s">
        <v>962</v>
      </c>
      <c r="E106" t="s">
        <v>1011</v>
      </c>
      <c r="F106" t="s">
        <v>1012</v>
      </c>
      <c r="G106" t="s">
        <v>1013</v>
      </c>
      <c r="H106" t="s">
        <v>103</v>
      </c>
    </row>
    <row r="107" spans="1:8" x14ac:dyDescent="0.3">
      <c r="A107" t="s">
        <v>1017</v>
      </c>
      <c r="B107" t="s">
        <v>1018</v>
      </c>
      <c r="C107" t="s">
        <v>1019</v>
      </c>
      <c r="D107" t="s">
        <v>963</v>
      </c>
      <c r="E107" t="s">
        <v>1011</v>
      </c>
      <c r="F107" t="s">
        <v>1012</v>
      </c>
      <c r="G107" t="s">
        <v>1013</v>
      </c>
      <c r="H107" t="s">
        <v>103</v>
      </c>
    </row>
    <row r="108" spans="1:8" x14ac:dyDescent="0.3">
      <c r="A108" t="s">
        <v>1020</v>
      </c>
      <c r="B108" t="s">
        <v>1021</v>
      </c>
      <c r="C108" t="s">
        <v>1022</v>
      </c>
      <c r="D108" t="s">
        <v>964</v>
      </c>
      <c r="E108" t="s">
        <v>1011</v>
      </c>
      <c r="F108" t="s">
        <v>1012</v>
      </c>
      <c r="G108" t="s">
        <v>1013</v>
      </c>
      <c r="H108" t="s">
        <v>103</v>
      </c>
    </row>
    <row r="109" spans="1:8" x14ac:dyDescent="0.3">
      <c r="A109" t="s">
        <v>1023</v>
      </c>
      <c r="B109" t="s">
        <v>1024</v>
      </c>
      <c r="C109" t="s">
        <v>1025</v>
      </c>
      <c r="D109" t="s">
        <v>965</v>
      </c>
      <c r="E109" t="s">
        <v>1011</v>
      </c>
      <c r="F109" t="s">
        <v>1012</v>
      </c>
      <c r="G109" t="s">
        <v>1013</v>
      </c>
      <c r="H109" t="s">
        <v>103</v>
      </c>
    </row>
    <row r="110" spans="1:8" x14ac:dyDescent="0.3">
      <c r="A110" t="s">
        <v>1026</v>
      </c>
      <c r="B110" t="s">
        <v>1027</v>
      </c>
      <c r="C110" t="s">
        <v>1028</v>
      </c>
      <c r="D110" t="s">
        <v>966</v>
      </c>
      <c r="E110" t="s">
        <v>1011</v>
      </c>
      <c r="F110" t="s">
        <v>1012</v>
      </c>
      <c r="G110" t="s">
        <v>1013</v>
      </c>
      <c r="H110" t="s">
        <v>103</v>
      </c>
    </row>
    <row r="111" spans="1:8" x14ac:dyDescent="0.3">
      <c r="A111" t="s">
        <v>1029</v>
      </c>
      <c r="B111" t="s">
        <v>1030</v>
      </c>
      <c r="C111" t="s">
        <v>1031</v>
      </c>
      <c r="D111" t="s">
        <v>967</v>
      </c>
      <c r="E111" t="s">
        <v>1011</v>
      </c>
      <c r="F111" t="s">
        <v>1012</v>
      </c>
      <c r="G111" t="s">
        <v>1013</v>
      </c>
      <c r="H111" t="s">
        <v>103</v>
      </c>
    </row>
    <row r="112" spans="1:8" x14ac:dyDescent="0.3">
      <c r="A112" t="s">
        <v>1032</v>
      </c>
      <c r="B112" t="s">
        <v>1033</v>
      </c>
      <c r="C112" t="s">
        <v>1034</v>
      </c>
      <c r="D112" t="s">
        <v>968</v>
      </c>
      <c r="E112" t="s">
        <v>1011</v>
      </c>
      <c r="F112" t="s">
        <v>1012</v>
      </c>
      <c r="G112" t="s">
        <v>1013</v>
      </c>
      <c r="H112" t="s">
        <v>103</v>
      </c>
    </row>
    <row r="113" spans="1:8" x14ac:dyDescent="0.3">
      <c r="A113" t="s">
        <v>1035</v>
      </c>
      <c r="B113" t="s">
        <v>1036</v>
      </c>
      <c r="C113" t="s">
        <v>1037</v>
      </c>
      <c r="D113" t="s">
        <v>969</v>
      </c>
      <c r="E113" t="s">
        <v>1011</v>
      </c>
      <c r="F113" t="s">
        <v>1012</v>
      </c>
      <c r="G113" t="s">
        <v>1013</v>
      </c>
      <c r="H113" t="s">
        <v>103</v>
      </c>
    </row>
    <row r="114" spans="1:8" x14ac:dyDescent="0.3">
      <c r="A114" t="s">
        <v>1038</v>
      </c>
      <c r="B114" t="s">
        <v>1039</v>
      </c>
      <c r="C114" t="s">
        <v>1040</v>
      </c>
      <c r="D114" t="s">
        <v>970</v>
      </c>
      <c r="E114" t="s">
        <v>1011</v>
      </c>
      <c r="F114" t="s">
        <v>1012</v>
      </c>
      <c r="G114" t="s">
        <v>1013</v>
      </c>
      <c r="H114" t="s">
        <v>103</v>
      </c>
    </row>
    <row r="115" spans="1:8" x14ac:dyDescent="0.3">
      <c r="A115" t="s">
        <v>1041</v>
      </c>
      <c r="B115" t="s">
        <v>1042</v>
      </c>
      <c r="C115" t="s">
        <v>1043</v>
      </c>
      <c r="D115" t="s">
        <v>971</v>
      </c>
      <c r="E115" t="s">
        <v>1011</v>
      </c>
      <c r="F115" t="s">
        <v>1012</v>
      </c>
      <c r="G115" t="s">
        <v>1013</v>
      </c>
      <c r="H115" t="s">
        <v>103</v>
      </c>
    </row>
    <row r="116" spans="1:8" x14ac:dyDescent="0.3">
      <c r="A116" t="s">
        <v>1044</v>
      </c>
      <c r="B116" t="s">
        <v>1045</v>
      </c>
      <c r="C116" t="s">
        <v>1046</v>
      </c>
      <c r="D116" t="s">
        <v>972</v>
      </c>
      <c r="E116" t="s">
        <v>1011</v>
      </c>
      <c r="F116" t="s">
        <v>1012</v>
      </c>
      <c r="G116" t="s">
        <v>1013</v>
      </c>
      <c r="H116" t="s">
        <v>103</v>
      </c>
    </row>
    <row r="117" spans="1:8" x14ac:dyDescent="0.3">
      <c r="A117" t="s">
        <v>1047</v>
      </c>
      <c r="B117" t="s">
        <v>1048</v>
      </c>
      <c r="C117" t="s">
        <v>1049</v>
      </c>
      <c r="D117" t="s">
        <v>1232</v>
      </c>
      <c r="E117" t="s">
        <v>1011</v>
      </c>
      <c r="F117" t="s">
        <v>1012</v>
      </c>
      <c r="G117" t="s">
        <v>1013</v>
      </c>
      <c r="H117" t="s">
        <v>103</v>
      </c>
    </row>
    <row r="118" spans="1:8" x14ac:dyDescent="0.3">
      <c r="A118" t="s">
        <v>1050</v>
      </c>
      <c r="B118" t="s">
        <v>949</v>
      </c>
      <c r="C118" t="s">
        <v>1051</v>
      </c>
      <c r="D118" t="s">
        <v>925</v>
      </c>
      <c r="E118" t="s">
        <v>1052</v>
      </c>
      <c r="F118" t="s">
        <v>1012</v>
      </c>
      <c r="G118" t="s">
        <v>1053</v>
      </c>
      <c r="H118" t="s">
        <v>103</v>
      </c>
    </row>
    <row r="119" spans="1:8" x14ac:dyDescent="0.3">
      <c r="A119" t="s">
        <v>1054</v>
      </c>
      <c r="B119" t="s">
        <v>950</v>
      </c>
      <c r="C119" t="s">
        <v>1055</v>
      </c>
      <c r="D119" t="s">
        <v>926</v>
      </c>
      <c r="E119" t="s">
        <v>1052</v>
      </c>
      <c r="F119" t="s">
        <v>1012</v>
      </c>
      <c r="G119" t="s">
        <v>1053</v>
      </c>
      <c r="H119" t="s">
        <v>103</v>
      </c>
    </row>
    <row r="120" spans="1:8" x14ac:dyDescent="0.3">
      <c r="A120" t="s">
        <v>1056</v>
      </c>
      <c r="B120" t="s">
        <v>951</v>
      </c>
      <c r="C120" t="s">
        <v>1057</v>
      </c>
      <c r="D120" t="s">
        <v>927</v>
      </c>
      <c r="E120" t="s">
        <v>1052</v>
      </c>
      <c r="F120" t="s">
        <v>1012</v>
      </c>
      <c r="G120" t="s">
        <v>1053</v>
      </c>
      <c r="H120" t="s">
        <v>103</v>
      </c>
    </row>
    <row r="121" spans="1:8" x14ac:dyDescent="0.3">
      <c r="A121" t="s">
        <v>1058</v>
      </c>
      <c r="B121" t="s">
        <v>952</v>
      </c>
      <c r="C121" t="s">
        <v>1059</v>
      </c>
      <c r="D121" t="s">
        <v>928</v>
      </c>
      <c r="E121" t="s">
        <v>1052</v>
      </c>
      <c r="F121" t="s">
        <v>1012</v>
      </c>
      <c r="G121" t="s">
        <v>1053</v>
      </c>
      <c r="H121" t="s">
        <v>103</v>
      </c>
    </row>
    <row r="122" spans="1:8" x14ac:dyDescent="0.3">
      <c r="A122" t="s">
        <v>1060</v>
      </c>
      <c r="B122" t="s">
        <v>953</v>
      </c>
      <c r="C122" t="s">
        <v>1061</v>
      </c>
      <c r="D122" t="s">
        <v>929</v>
      </c>
      <c r="E122" t="s">
        <v>1052</v>
      </c>
      <c r="F122" t="s">
        <v>1012</v>
      </c>
      <c r="G122" t="s">
        <v>1053</v>
      </c>
      <c r="H122" t="s">
        <v>103</v>
      </c>
    </row>
    <row r="123" spans="1:8" x14ac:dyDescent="0.3">
      <c r="A123" t="s">
        <v>1062</v>
      </c>
      <c r="B123" t="s">
        <v>954</v>
      </c>
      <c r="C123" t="s">
        <v>1063</v>
      </c>
      <c r="D123" t="s">
        <v>930</v>
      </c>
      <c r="E123" t="s">
        <v>1052</v>
      </c>
      <c r="F123" t="s">
        <v>1012</v>
      </c>
      <c r="G123" t="s">
        <v>1053</v>
      </c>
      <c r="H123" t="s">
        <v>103</v>
      </c>
    </row>
    <row r="124" spans="1:8" x14ac:dyDescent="0.3">
      <c r="A124" t="s">
        <v>1064</v>
      </c>
      <c r="B124" t="s">
        <v>955</v>
      </c>
      <c r="C124" t="s">
        <v>1065</v>
      </c>
      <c r="D124" t="s">
        <v>931</v>
      </c>
      <c r="E124" t="s">
        <v>1052</v>
      </c>
      <c r="F124" t="s">
        <v>1012</v>
      </c>
      <c r="G124" t="s">
        <v>1053</v>
      </c>
      <c r="H124" t="s">
        <v>103</v>
      </c>
    </row>
    <row r="125" spans="1:8" x14ac:dyDescent="0.3">
      <c r="A125" t="s">
        <v>1066</v>
      </c>
      <c r="B125" t="s">
        <v>956</v>
      </c>
      <c r="C125" t="s">
        <v>1067</v>
      </c>
      <c r="D125" t="s">
        <v>932</v>
      </c>
      <c r="E125" t="s">
        <v>1052</v>
      </c>
      <c r="F125" t="s">
        <v>1012</v>
      </c>
      <c r="G125" t="s">
        <v>1053</v>
      </c>
      <c r="H125" t="s">
        <v>103</v>
      </c>
    </row>
    <row r="126" spans="1:8" x14ac:dyDescent="0.3">
      <c r="A126" t="s">
        <v>1068</v>
      </c>
      <c r="B126" t="s">
        <v>957</v>
      </c>
      <c r="C126" t="s">
        <v>1069</v>
      </c>
      <c r="D126" t="s">
        <v>933</v>
      </c>
      <c r="E126" t="s">
        <v>1052</v>
      </c>
      <c r="F126" t="s">
        <v>1012</v>
      </c>
      <c r="G126" t="s">
        <v>1053</v>
      </c>
      <c r="H126" t="s">
        <v>103</v>
      </c>
    </row>
    <row r="127" spans="1:8" x14ac:dyDescent="0.3">
      <c r="A127" t="s">
        <v>1070</v>
      </c>
      <c r="B127" t="s">
        <v>958</v>
      </c>
      <c r="C127" t="s">
        <v>1071</v>
      </c>
      <c r="D127" t="s">
        <v>934</v>
      </c>
      <c r="E127" t="s">
        <v>1052</v>
      </c>
      <c r="F127" t="s">
        <v>1012</v>
      </c>
      <c r="G127" t="s">
        <v>1053</v>
      </c>
      <c r="H127" t="s">
        <v>103</v>
      </c>
    </row>
    <row r="128" spans="1:8" x14ac:dyDescent="0.3">
      <c r="A128" t="s">
        <v>1072</v>
      </c>
      <c r="B128" t="s">
        <v>959</v>
      </c>
      <c r="C128" t="s">
        <v>1073</v>
      </c>
      <c r="D128" t="s">
        <v>935</v>
      </c>
      <c r="E128" t="s">
        <v>1052</v>
      </c>
      <c r="F128" t="s">
        <v>1012</v>
      </c>
      <c r="G128" t="s">
        <v>1053</v>
      </c>
      <c r="H128" t="s">
        <v>103</v>
      </c>
    </row>
    <row r="129" spans="1:8" x14ac:dyDescent="0.3">
      <c r="A129" t="s">
        <v>1074</v>
      </c>
      <c r="B129" t="s">
        <v>960</v>
      </c>
      <c r="C129" t="s">
        <v>1075</v>
      </c>
      <c r="D129" t="s">
        <v>936</v>
      </c>
      <c r="E129" t="s">
        <v>1052</v>
      </c>
      <c r="F129" t="s">
        <v>1012</v>
      </c>
      <c r="G129" t="s">
        <v>1053</v>
      </c>
      <c r="H129" t="s">
        <v>103</v>
      </c>
    </row>
    <row r="130" spans="1:8" x14ac:dyDescent="0.3">
      <c r="A130" t="s">
        <v>1076</v>
      </c>
      <c r="B130" t="s">
        <v>1077</v>
      </c>
      <c r="C130" t="s">
        <v>1076</v>
      </c>
      <c r="D130" t="s">
        <v>1078</v>
      </c>
      <c r="E130" t="s">
        <v>1052</v>
      </c>
      <c r="F130" t="s">
        <v>1012</v>
      </c>
      <c r="G130" t="s">
        <v>1053</v>
      </c>
      <c r="H130" t="s">
        <v>103</v>
      </c>
    </row>
    <row r="131" spans="1:8" x14ac:dyDescent="0.3">
      <c r="A131" t="s">
        <v>1079</v>
      </c>
      <c r="B131" t="s">
        <v>1080</v>
      </c>
      <c r="C131" t="s">
        <v>1081</v>
      </c>
      <c r="D131" t="s">
        <v>1082</v>
      </c>
      <c r="E131" t="s">
        <v>1083</v>
      </c>
      <c r="F131" t="s">
        <v>1012</v>
      </c>
      <c r="G131" t="s">
        <v>1053</v>
      </c>
      <c r="H131" t="s">
        <v>103</v>
      </c>
    </row>
    <row r="132" spans="1:8" x14ac:dyDescent="0.3">
      <c r="A132" t="s">
        <v>1084</v>
      </c>
      <c r="B132" t="s">
        <v>1085</v>
      </c>
      <c r="C132" t="s">
        <v>1086</v>
      </c>
      <c r="D132" t="s">
        <v>937</v>
      </c>
      <c r="E132" t="s">
        <v>1083</v>
      </c>
      <c r="F132" t="s">
        <v>1012</v>
      </c>
      <c r="G132" t="s">
        <v>1053</v>
      </c>
      <c r="H132" t="s">
        <v>103</v>
      </c>
    </row>
    <row r="133" spans="1:8" x14ac:dyDescent="0.3">
      <c r="A133" t="s">
        <v>1087</v>
      </c>
      <c r="B133" t="s">
        <v>1088</v>
      </c>
      <c r="C133" t="s">
        <v>1089</v>
      </c>
      <c r="D133" t="s">
        <v>938</v>
      </c>
      <c r="E133" t="s">
        <v>1083</v>
      </c>
      <c r="F133" t="s">
        <v>1012</v>
      </c>
      <c r="G133" t="s">
        <v>1053</v>
      </c>
      <c r="H133" t="s">
        <v>103</v>
      </c>
    </row>
    <row r="134" spans="1:8" x14ac:dyDescent="0.3">
      <c r="A134" t="s">
        <v>1090</v>
      </c>
      <c r="B134" t="s">
        <v>1091</v>
      </c>
      <c r="C134" t="s">
        <v>1092</v>
      </c>
      <c r="D134" t="s">
        <v>939</v>
      </c>
      <c r="E134" t="s">
        <v>1083</v>
      </c>
      <c r="F134" t="s">
        <v>1012</v>
      </c>
      <c r="G134" t="s">
        <v>1053</v>
      </c>
      <c r="H134" t="s">
        <v>103</v>
      </c>
    </row>
    <row r="135" spans="1:8" x14ac:dyDescent="0.3">
      <c r="A135" t="s">
        <v>1093</v>
      </c>
      <c r="B135" t="s">
        <v>1094</v>
      </c>
      <c r="C135" t="s">
        <v>1095</v>
      </c>
      <c r="D135" t="s">
        <v>940</v>
      </c>
      <c r="E135" t="s">
        <v>1083</v>
      </c>
      <c r="F135" t="s">
        <v>1012</v>
      </c>
      <c r="G135" t="s">
        <v>1053</v>
      </c>
      <c r="H135" t="s">
        <v>103</v>
      </c>
    </row>
    <row r="136" spans="1:8" x14ac:dyDescent="0.3">
      <c r="A136" t="s">
        <v>1096</v>
      </c>
      <c r="B136" t="s">
        <v>1097</v>
      </c>
      <c r="C136" t="s">
        <v>1098</v>
      </c>
      <c r="D136" t="s">
        <v>941</v>
      </c>
      <c r="E136" t="s">
        <v>1083</v>
      </c>
      <c r="F136" t="s">
        <v>1012</v>
      </c>
      <c r="G136" t="s">
        <v>1053</v>
      </c>
      <c r="H136" t="s">
        <v>103</v>
      </c>
    </row>
    <row r="137" spans="1:8" x14ac:dyDescent="0.3">
      <c r="A137" t="s">
        <v>1099</v>
      </c>
      <c r="B137" t="s">
        <v>1100</v>
      </c>
      <c r="C137" t="s">
        <v>1101</v>
      </c>
      <c r="D137" t="s">
        <v>942</v>
      </c>
      <c r="E137" t="s">
        <v>1083</v>
      </c>
      <c r="F137" t="s">
        <v>1012</v>
      </c>
      <c r="G137" t="s">
        <v>1053</v>
      </c>
      <c r="H137" t="s">
        <v>103</v>
      </c>
    </row>
    <row r="138" spans="1:8" x14ac:dyDescent="0.3">
      <c r="A138" t="s">
        <v>1102</v>
      </c>
      <c r="B138" t="s">
        <v>1103</v>
      </c>
      <c r="C138" t="s">
        <v>1104</v>
      </c>
      <c r="D138" t="s">
        <v>943</v>
      </c>
      <c r="E138" t="s">
        <v>1083</v>
      </c>
      <c r="F138" t="s">
        <v>1012</v>
      </c>
      <c r="G138" t="s">
        <v>1053</v>
      </c>
      <c r="H138" t="s">
        <v>103</v>
      </c>
    </row>
    <row r="139" spans="1:8" x14ac:dyDescent="0.3">
      <c r="A139" t="s">
        <v>1105</v>
      </c>
      <c r="B139" t="s">
        <v>1106</v>
      </c>
      <c r="C139" t="s">
        <v>1107</v>
      </c>
      <c r="D139" t="s">
        <v>944</v>
      </c>
      <c r="E139" t="s">
        <v>1083</v>
      </c>
      <c r="F139" t="s">
        <v>1012</v>
      </c>
      <c r="G139" t="s">
        <v>1053</v>
      </c>
      <c r="H139" t="s">
        <v>103</v>
      </c>
    </row>
    <row r="140" spans="1:8" x14ac:dyDescent="0.3">
      <c r="A140" t="s">
        <v>1108</v>
      </c>
      <c r="B140" t="s">
        <v>1109</v>
      </c>
      <c r="C140" t="s">
        <v>1110</v>
      </c>
      <c r="D140" t="s">
        <v>945</v>
      </c>
      <c r="E140" t="s">
        <v>1083</v>
      </c>
      <c r="F140" t="s">
        <v>1012</v>
      </c>
      <c r="G140" t="s">
        <v>1053</v>
      </c>
      <c r="H140" t="s">
        <v>103</v>
      </c>
    </row>
    <row r="141" spans="1:8" x14ac:dyDescent="0.3">
      <c r="A141" t="s">
        <v>1111</v>
      </c>
      <c r="B141" t="s">
        <v>1112</v>
      </c>
      <c r="C141" t="s">
        <v>1113</v>
      </c>
      <c r="D141" t="s">
        <v>946</v>
      </c>
      <c r="E141" t="s">
        <v>1083</v>
      </c>
      <c r="F141" t="s">
        <v>1012</v>
      </c>
      <c r="G141" t="s">
        <v>1053</v>
      </c>
      <c r="H141" t="s">
        <v>103</v>
      </c>
    </row>
    <row r="142" spans="1:8" x14ac:dyDescent="0.3">
      <c r="A142" t="s">
        <v>1114</v>
      </c>
      <c r="B142" t="s">
        <v>1115</v>
      </c>
      <c r="C142" t="s">
        <v>1116</v>
      </c>
      <c r="D142" t="s">
        <v>947</v>
      </c>
      <c r="E142" t="s">
        <v>1083</v>
      </c>
      <c r="F142" t="s">
        <v>1012</v>
      </c>
      <c r="G142" t="s">
        <v>1053</v>
      </c>
      <c r="H142" t="s">
        <v>103</v>
      </c>
    </row>
    <row r="143" spans="1:8" x14ac:dyDescent="0.3">
      <c r="A143" t="s">
        <v>1117</v>
      </c>
      <c r="B143" t="s">
        <v>1118</v>
      </c>
      <c r="C143" t="s">
        <v>1117</v>
      </c>
      <c r="D143" t="s">
        <v>1119</v>
      </c>
      <c r="E143" t="s">
        <v>1083</v>
      </c>
      <c r="F143" t="s">
        <v>1012</v>
      </c>
      <c r="G143" t="s">
        <v>1053</v>
      </c>
      <c r="H143" t="s">
        <v>103</v>
      </c>
    </row>
    <row r="144" spans="1:8" x14ac:dyDescent="0.3">
      <c r="A144" t="s">
        <v>1120</v>
      </c>
      <c r="B144" t="s">
        <v>1121</v>
      </c>
      <c r="C144" t="s">
        <v>1122</v>
      </c>
      <c r="D144" t="s">
        <v>973</v>
      </c>
      <c r="E144" t="s">
        <v>383</v>
      </c>
      <c r="F144" t="s">
        <v>1123</v>
      </c>
      <c r="G144" t="s">
        <v>1124</v>
      </c>
      <c r="H144" t="s">
        <v>1125</v>
      </c>
    </row>
    <row r="145" spans="1:8" x14ac:dyDescent="0.3">
      <c r="A145" t="s">
        <v>1126</v>
      </c>
      <c r="B145" t="s">
        <v>1127</v>
      </c>
      <c r="C145" t="s">
        <v>1128</v>
      </c>
      <c r="D145" t="s">
        <v>974</v>
      </c>
      <c r="E145" t="s">
        <v>383</v>
      </c>
      <c r="F145" t="s">
        <v>1123</v>
      </c>
      <c r="G145" t="s">
        <v>1124</v>
      </c>
      <c r="H145" t="s">
        <v>1125</v>
      </c>
    </row>
    <row r="146" spans="1:8" x14ac:dyDescent="0.3">
      <c r="A146" t="s">
        <v>1129</v>
      </c>
      <c r="B146" t="s">
        <v>1130</v>
      </c>
      <c r="C146" t="s">
        <v>1131</v>
      </c>
      <c r="D146" t="s">
        <v>975</v>
      </c>
      <c r="E146" t="s">
        <v>383</v>
      </c>
      <c r="F146" t="s">
        <v>1123</v>
      </c>
      <c r="G146" t="s">
        <v>1124</v>
      </c>
      <c r="H146" t="s">
        <v>1125</v>
      </c>
    </row>
    <row r="147" spans="1:8" x14ac:dyDescent="0.3">
      <c r="A147" t="s">
        <v>1132</v>
      </c>
      <c r="B147" t="s">
        <v>1133</v>
      </c>
      <c r="C147" t="s">
        <v>1134</v>
      </c>
      <c r="D147" t="s">
        <v>976</v>
      </c>
      <c r="E147" t="s">
        <v>383</v>
      </c>
      <c r="F147" t="s">
        <v>1123</v>
      </c>
      <c r="G147" t="s">
        <v>1124</v>
      </c>
      <c r="H147" t="s">
        <v>1125</v>
      </c>
    </row>
    <row r="148" spans="1:8" x14ac:dyDescent="0.3">
      <c r="A148" t="s">
        <v>1135</v>
      </c>
      <c r="B148" t="s">
        <v>1136</v>
      </c>
      <c r="C148" t="s">
        <v>1137</v>
      </c>
      <c r="D148" t="s">
        <v>977</v>
      </c>
      <c r="E148" t="s">
        <v>383</v>
      </c>
      <c r="F148" t="s">
        <v>1123</v>
      </c>
      <c r="G148" t="s">
        <v>1124</v>
      </c>
      <c r="H148" t="s">
        <v>1125</v>
      </c>
    </row>
    <row r="149" spans="1:8" x14ac:dyDescent="0.3">
      <c r="A149" t="s">
        <v>1138</v>
      </c>
      <c r="B149" t="s">
        <v>1139</v>
      </c>
      <c r="C149" t="s">
        <v>1140</v>
      </c>
      <c r="D149" t="s">
        <v>978</v>
      </c>
      <c r="E149" t="s">
        <v>383</v>
      </c>
      <c r="F149" t="s">
        <v>1123</v>
      </c>
      <c r="G149" t="s">
        <v>1124</v>
      </c>
      <c r="H149" t="s">
        <v>1125</v>
      </c>
    </row>
    <row r="150" spans="1:8" x14ac:dyDescent="0.3">
      <c r="A150" t="s">
        <v>1141</v>
      </c>
      <c r="B150" t="s">
        <v>1142</v>
      </c>
      <c r="C150" t="s">
        <v>1143</v>
      </c>
      <c r="D150" t="s">
        <v>979</v>
      </c>
      <c r="E150" t="s">
        <v>383</v>
      </c>
      <c r="F150" t="s">
        <v>1123</v>
      </c>
      <c r="G150" t="s">
        <v>1124</v>
      </c>
      <c r="H150" t="s">
        <v>1125</v>
      </c>
    </row>
    <row r="151" spans="1:8" x14ac:dyDescent="0.3">
      <c r="A151" t="s">
        <v>1144</v>
      </c>
      <c r="B151" t="s">
        <v>1145</v>
      </c>
      <c r="C151" t="s">
        <v>1146</v>
      </c>
      <c r="D151" t="s">
        <v>980</v>
      </c>
      <c r="E151" t="s">
        <v>383</v>
      </c>
      <c r="F151" t="s">
        <v>1123</v>
      </c>
      <c r="G151" t="s">
        <v>1124</v>
      </c>
      <c r="H151" t="s">
        <v>1125</v>
      </c>
    </row>
    <row r="152" spans="1:8" x14ac:dyDescent="0.3">
      <c r="A152" t="s">
        <v>1147</v>
      </c>
      <c r="B152" t="s">
        <v>1148</v>
      </c>
      <c r="C152" t="s">
        <v>1149</v>
      </c>
      <c r="D152" t="s">
        <v>981</v>
      </c>
      <c r="E152" t="s">
        <v>1150</v>
      </c>
      <c r="F152" t="s">
        <v>1123</v>
      </c>
      <c r="G152" t="s">
        <v>1124</v>
      </c>
      <c r="H152" t="s">
        <v>1125</v>
      </c>
    </row>
    <row r="153" spans="1:8" x14ac:dyDescent="0.3">
      <c r="A153" t="s">
        <v>1151</v>
      </c>
      <c r="B153" t="s">
        <v>1152</v>
      </c>
      <c r="C153" t="s">
        <v>1153</v>
      </c>
      <c r="D153" t="s">
        <v>982</v>
      </c>
      <c r="E153" t="s">
        <v>383</v>
      </c>
      <c r="F153" t="s">
        <v>1123</v>
      </c>
      <c r="G153" t="s">
        <v>1124</v>
      </c>
      <c r="H153" t="s">
        <v>1125</v>
      </c>
    </row>
    <row r="154" spans="1:8" x14ac:dyDescent="0.3">
      <c r="A154" t="s">
        <v>1154</v>
      </c>
      <c r="B154" t="s">
        <v>1155</v>
      </c>
      <c r="C154" t="s">
        <v>1156</v>
      </c>
      <c r="D154" t="s">
        <v>983</v>
      </c>
      <c r="E154" t="s">
        <v>1157</v>
      </c>
      <c r="F154" t="s">
        <v>1123</v>
      </c>
      <c r="G154" t="s">
        <v>1124</v>
      </c>
      <c r="H154" t="s">
        <v>1125</v>
      </c>
    </row>
    <row r="155" spans="1:8" x14ac:dyDescent="0.3">
      <c r="A155" t="s">
        <v>1158</v>
      </c>
      <c r="B155" t="s">
        <v>1159</v>
      </c>
      <c r="C155" t="s">
        <v>1160</v>
      </c>
      <c r="D155" t="s">
        <v>984</v>
      </c>
      <c r="E155" t="s">
        <v>1157</v>
      </c>
      <c r="F155" t="s">
        <v>1123</v>
      </c>
      <c r="G155" t="s">
        <v>1124</v>
      </c>
      <c r="H155" t="s">
        <v>1125</v>
      </c>
    </row>
    <row r="156" spans="1:8" x14ac:dyDescent="0.3">
      <c r="A156" t="s">
        <v>1161</v>
      </c>
      <c r="B156" t="s">
        <v>1162</v>
      </c>
      <c r="C156" t="s">
        <v>1163</v>
      </c>
      <c r="D156" t="s">
        <v>985</v>
      </c>
      <c r="E156" t="s">
        <v>1164</v>
      </c>
      <c r="F156" t="s">
        <v>1123</v>
      </c>
      <c r="G156" t="s">
        <v>1124</v>
      </c>
      <c r="H156" t="s">
        <v>1125</v>
      </c>
    </row>
    <row r="157" spans="1:8" x14ac:dyDescent="0.3">
      <c r="A157" t="s">
        <v>1165</v>
      </c>
      <c r="B157" t="s">
        <v>1166</v>
      </c>
      <c r="C157" t="s">
        <v>1167</v>
      </c>
      <c r="D157" t="s">
        <v>986</v>
      </c>
      <c r="E157" t="s">
        <v>1164</v>
      </c>
      <c r="F157" t="s">
        <v>1123</v>
      </c>
      <c r="G157" t="s">
        <v>1124</v>
      </c>
      <c r="H157" t="s">
        <v>1125</v>
      </c>
    </row>
    <row r="158" spans="1:8" x14ac:dyDescent="0.3">
      <c r="A158" t="s">
        <v>1168</v>
      </c>
      <c r="B158" t="s">
        <v>1169</v>
      </c>
      <c r="C158" t="s">
        <v>1170</v>
      </c>
      <c r="D158" t="s">
        <v>987</v>
      </c>
      <c r="E158" t="s">
        <v>383</v>
      </c>
      <c r="F158" t="s">
        <v>1123</v>
      </c>
      <c r="G158" t="s">
        <v>1124</v>
      </c>
      <c r="H158" t="s">
        <v>1125</v>
      </c>
    </row>
    <row r="159" spans="1:8" x14ac:dyDescent="0.3">
      <c r="A159" t="s">
        <v>1171</v>
      </c>
      <c r="B159" t="s">
        <v>1172</v>
      </c>
      <c r="C159" t="s">
        <v>1173</v>
      </c>
      <c r="D159" t="s">
        <v>988</v>
      </c>
      <c r="E159" t="s">
        <v>383</v>
      </c>
      <c r="F159" t="s">
        <v>1123</v>
      </c>
      <c r="G159" t="s">
        <v>1124</v>
      </c>
      <c r="H159" t="s">
        <v>1125</v>
      </c>
    </row>
    <row r="160" spans="1:8" x14ac:dyDescent="0.3">
      <c r="A160" t="s">
        <v>1174</v>
      </c>
      <c r="B160" t="s">
        <v>1175</v>
      </c>
      <c r="C160" t="s">
        <v>1176</v>
      </c>
      <c r="D160" t="s">
        <v>989</v>
      </c>
      <c r="E160" t="s">
        <v>383</v>
      </c>
      <c r="F160" t="s">
        <v>1123</v>
      </c>
      <c r="G160" t="s">
        <v>1124</v>
      </c>
      <c r="H160" t="s">
        <v>1125</v>
      </c>
    </row>
    <row r="161" spans="1:8" x14ac:dyDescent="0.3">
      <c r="A161" t="s">
        <v>1177</v>
      </c>
      <c r="B161" t="s">
        <v>1178</v>
      </c>
      <c r="C161" t="s">
        <v>1179</v>
      </c>
      <c r="D161" t="s">
        <v>990</v>
      </c>
      <c r="E161" t="s">
        <v>383</v>
      </c>
      <c r="F161" t="s">
        <v>1123</v>
      </c>
      <c r="G161" t="s">
        <v>1124</v>
      </c>
      <c r="H161" t="s">
        <v>1125</v>
      </c>
    </row>
    <row r="162" spans="1:8" x14ac:dyDescent="0.3">
      <c r="A162" t="s">
        <v>1180</v>
      </c>
      <c r="B162" t="s">
        <v>1181</v>
      </c>
      <c r="C162" t="s">
        <v>1182</v>
      </c>
      <c r="D162" t="s">
        <v>991</v>
      </c>
      <c r="E162" t="s">
        <v>1157</v>
      </c>
      <c r="F162" t="s">
        <v>1123</v>
      </c>
      <c r="G162" t="s">
        <v>1124</v>
      </c>
      <c r="H162" t="s">
        <v>1125</v>
      </c>
    </row>
    <row r="163" spans="1:8" x14ac:dyDescent="0.3">
      <c r="A163" t="s">
        <v>1183</v>
      </c>
      <c r="B163" t="s">
        <v>1184</v>
      </c>
      <c r="C163" t="s">
        <v>1185</v>
      </c>
      <c r="D163" t="s">
        <v>992</v>
      </c>
      <c r="E163" t="s">
        <v>1157</v>
      </c>
      <c r="F163" t="s">
        <v>1123</v>
      </c>
      <c r="G163" t="s">
        <v>1124</v>
      </c>
      <c r="H163" t="s">
        <v>1125</v>
      </c>
    </row>
    <row r="164" spans="1:8" x14ac:dyDescent="0.3">
      <c r="A164" t="s">
        <v>1186</v>
      </c>
      <c r="B164" t="s">
        <v>1187</v>
      </c>
      <c r="C164" t="s">
        <v>1188</v>
      </c>
      <c r="D164" t="s">
        <v>993</v>
      </c>
      <c r="E164" t="s">
        <v>1189</v>
      </c>
      <c r="F164" t="s">
        <v>1123</v>
      </c>
      <c r="G164" t="s">
        <v>1124</v>
      </c>
      <c r="H164" t="s">
        <v>1125</v>
      </c>
    </row>
    <row r="165" spans="1:8" x14ac:dyDescent="0.3">
      <c r="A165" t="s">
        <v>1190</v>
      </c>
      <c r="B165" t="s">
        <v>1191</v>
      </c>
      <c r="C165" t="s">
        <v>1192</v>
      </c>
      <c r="D165" t="s">
        <v>994</v>
      </c>
      <c r="E165" t="s">
        <v>1189</v>
      </c>
      <c r="F165" t="s">
        <v>1123</v>
      </c>
      <c r="G165" t="s">
        <v>1124</v>
      </c>
      <c r="H165" t="s">
        <v>1125</v>
      </c>
    </row>
    <row r="166" spans="1:8" x14ac:dyDescent="0.3">
      <c r="A166" t="s">
        <v>1193</v>
      </c>
      <c r="B166" t="s">
        <v>1194</v>
      </c>
      <c r="C166" t="s">
        <v>1195</v>
      </c>
      <c r="D166" t="s">
        <v>995</v>
      </c>
      <c r="E166" t="s">
        <v>1196</v>
      </c>
      <c r="F166" t="s">
        <v>1123</v>
      </c>
      <c r="G166" t="s">
        <v>1124</v>
      </c>
      <c r="H166" t="s">
        <v>1125</v>
      </c>
    </row>
    <row r="167" spans="1:8" x14ac:dyDescent="0.3">
      <c r="A167" t="s">
        <v>1197</v>
      </c>
      <c r="B167" t="s">
        <v>1198</v>
      </c>
      <c r="C167" t="s">
        <v>1195</v>
      </c>
      <c r="D167" t="s">
        <v>996</v>
      </c>
      <c r="E167" t="s">
        <v>1196</v>
      </c>
      <c r="F167" t="s">
        <v>1123</v>
      </c>
      <c r="G167" t="s">
        <v>1124</v>
      </c>
      <c r="H167" t="s">
        <v>1125</v>
      </c>
    </row>
    <row r="168" spans="1:8" x14ac:dyDescent="0.3">
      <c r="A168" t="s">
        <v>1199</v>
      </c>
      <c r="B168" t="s">
        <v>1200</v>
      </c>
      <c r="C168" t="s">
        <v>1201</v>
      </c>
      <c r="D168" t="s">
        <v>997</v>
      </c>
      <c r="E168" t="s">
        <v>1202</v>
      </c>
      <c r="F168" t="s">
        <v>1123</v>
      </c>
      <c r="G168" t="s">
        <v>1124</v>
      </c>
      <c r="H168" t="s">
        <v>1125</v>
      </c>
    </row>
    <row r="169" spans="1:8" x14ac:dyDescent="0.3">
      <c r="A169" t="s">
        <v>1203</v>
      </c>
      <c r="B169" t="s">
        <v>1204</v>
      </c>
      <c r="C169" t="s">
        <v>1205</v>
      </c>
      <c r="D169" t="s">
        <v>998</v>
      </c>
      <c r="E169" t="s">
        <v>1202</v>
      </c>
      <c r="F169" t="s">
        <v>1123</v>
      </c>
      <c r="G169" t="s">
        <v>1124</v>
      </c>
      <c r="H169" t="s">
        <v>1125</v>
      </c>
    </row>
    <row r="170" spans="1:8" x14ac:dyDescent="0.3">
      <c r="A170" t="s">
        <v>1206</v>
      </c>
      <c r="B170" t="s">
        <v>1207</v>
      </c>
      <c r="C170" t="s">
        <v>1208</v>
      </c>
      <c r="D170" t="s">
        <v>999</v>
      </c>
      <c r="E170" t="s">
        <v>1202</v>
      </c>
      <c r="F170" t="s">
        <v>1123</v>
      </c>
      <c r="G170" t="s">
        <v>1124</v>
      </c>
      <c r="H170" t="s">
        <v>1125</v>
      </c>
    </row>
    <row r="171" spans="1:8" x14ac:dyDescent="0.3">
      <c r="A171" t="s">
        <v>1209</v>
      </c>
      <c r="B171" t="s">
        <v>1210</v>
      </c>
      <c r="C171" t="s">
        <v>1211</v>
      </c>
      <c r="D171" t="s">
        <v>1000</v>
      </c>
      <c r="E171" t="s">
        <v>1202</v>
      </c>
      <c r="F171" t="s">
        <v>1123</v>
      </c>
      <c r="G171" t="s">
        <v>1124</v>
      </c>
      <c r="H171" t="s">
        <v>1125</v>
      </c>
    </row>
    <row r="172" spans="1:8" x14ac:dyDescent="0.3">
      <c r="A172" t="s">
        <v>1212</v>
      </c>
      <c r="B172" t="s">
        <v>1001</v>
      </c>
      <c r="C172" t="s">
        <v>1212</v>
      </c>
      <c r="D172" t="s">
        <v>1001</v>
      </c>
      <c r="E172" t="s">
        <v>1213</v>
      </c>
      <c r="F172" t="s">
        <v>1123</v>
      </c>
      <c r="G172" t="s">
        <v>1124</v>
      </c>
      <c r="H172" t="s">
        <v>1125</v>
      </c>
    </row>
    <row r="173" spans="1:8" x14ac:dyDescent="0.3">
      <c r="A173" t="s">
        <v>1214</v>
      </c>
      <c r="B173" t="s">
        <v>1215</v>
      </c>
      <c r="C173" t="s">
        <v>1216</v>
      </c>
      <c r="D173" t="s">
        <v>1002</v>
      </c>
      <c r="E173" t="s">
        <v>383</v>
      </c>
      <c r="F173" t="s">
        <v>1123</v>
      </c>
      <c r="G173" t="s">
        <v>1124</v>
      </c>
      <c r="H173" t="s">
        <v>1125</v>
      </c>
    </row>
    <row r="174" spans="1:8" x14ac:dyDescent="0.3">
      <c r="A174" t="s">
        <v>1217</v>
      </c>
      <c r="B174" t="s">
        <v>1218</v>
      </c>
      <c r="C174" t="s">
        <v>1219</v>
      </c>
      <c r="D174" t="s">
        <v>1003</v>
      </c>
      <c r="E174" t="s">
        <v>383</v>
      </c>
      <c r="F174" t="s">
        <v>1123</v>
      </c>
      <c r="G174" t="s">
        <v>1124</v>
      </c>
      <c r="H174" t="s">
        <v>1125</v>
      </c>
    </row>
    <row r="175" spans="1:8" x14ac:dyDescent="0.3">
      <c r="A175" t="s">
        <v>1220</v>
      </c>
      <c r="B175" t="s">
        <v>1221</v>
      </c>
      <c r="C175" t="s">
        <v>1222</v>
      </c>
      <c r="D175" t="s">
        <v>1004</v>
      </c>
      <c r="E175" t="s">
        <v>383</v>
      </c>
      <c r="F175" t="s">
        <v>1123</v>
      </c>
      <c r="G175" t="s">
        <v>1124</v>
      </c>
      <c r="H175" t="s">
        <v>1125</v>
      </c>
    </row>
    <row r="176" spans="1:8" x14ac:dyDescent="0.3">
      <c r="A176" t="s">
        <v>1223</v>
      </c>
      <c r="B176" t="s">
        <v>1224</v>
      </c>
      <c r="C176" t="s">
        <v>1225</v>
      </c>
      <c r="D176" t="s">
        <v>1005</v>
      </c>
      <c r="E176" t="s">
        <v>383</v>
      </c>
      <c r="F176" t="s">
        <v>1123</v>
      </c>
      <c r="G176" t="s">
        <v>1124</v>
      </c>
      <c r="H176" t="s">
        <v>1125</v>
      </c>
    </row>
    <row r="177" spans="1:8" x14ac:dyDescent="0.3">
      <c r="A177" t="s">
        <v>1226</v>
      </c>
      <c r="B177" t="s">
        <v>1227</v>
      </c>
      <c r="C177" t="s">
        <v>1228</v>
      </c>
      <c r="D177" t="s">
        <v>1006</v>
      </c>
      <c r="E177" t="s">
        <v>383</v>
      </c>
      <c r="F177" t="s">
        <v>1123</v>
      </c>
      <c r="G177" t="s">
        <v>1124</v>
      </c>
      <c r="H177" t="s">
        <v>1125</v>
      </c>
    </row>
    <row r="178" spans="1:8" x14ac:dyDescent="0.3">
      <c r="A178" t="s">
        <v>1229</v>
      </c>
      <c r="B178" t="s">
        <v>1230</v>
      </c>
      <c r="C178" t="s">
        <v>1231</v>
      </c>
      <c r="D178" t="s">
        <v>1007</v>
      </c>
      <c r="E178" t="s">
        <v>383</v>
      </c>
      <c r="F178" t="s">
        <v>1123</v>
      </c>
      <c r="G178" t="s">
        <v>1124</v>
      </c>
      <c r="H178" t="s">
        <v>1125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78"/>
  <sheetViews>
    <sheetView workbookViewId="0">
      <selection activeCell="Q1" sqref="Q1"/>
    </sheetView>
  </sheetViews>
  <sheetFormatPr defaultColWidth="11.5546875" defaultRowHeight="14.4" x14ac:dyDescent="0.3"/>
  <cols>
    <col min="1" max="1" width="21.33203125" style="5" customWidth="1"/>
    <col min="2" max="2" width="21.33203125" customWidth="1"/>
  </cols>
  <sheetData>
    <row r="1" spans="1:20" x14ac:dyDescent="0.3">
      <c r="A1" t="s">
        <v>3</v>
      </c>
      <c r="B1" t="s">
        <v>865</v>
      </c>
      <c r="C1" t="s">
        <v>88</v>
      </c>
      <c r="D1" t="s">
        <v>89</v>
      </c>
      <c r="E1" t="s">
        <v>90</v>
      </c>
      <c r="F1" t="s">
        <v>637</v>
      </c>
      <c r="G1" t="s">
        <v>18</v>
      </c>
      <c r="H1" t="s">
        <v>25</v>
      </c>
      <c r="I1" t="s">
        <v>26</v>
      </c>
      <c r="J1" t="s">
        <v>639</v>
      </c>
      <c r="K1" t="s">
        <v>76</v>
      </c>
      <c r="L1" t="s">
        <v>52</v>
      </c>
      <c r="M1" t="s">
        <v>82</v>
      </c>
      <c r="N1" t="s">
        <v>86</v>
      </c>
      <c r="O1" t="s">
        <v>867</v>
      </c>
      <c r="P1" t="s">
        <v>22</v>
      </c>
      <c r="Q1" t="s">
        <v>61</v>
      </c>
      <c r="R1" t="s">
        <v>908</v>
      </c>
      <c r="S1" t="s">
        <v>909</v>
      </c>
      <c r="T1" t="s">
        <v>910</v>
      </c>
    </row>
    <row r="2" spans="1:20" x14ac:dyDescent="0.3">
      <c r="A2" t="s">
        <v>739</v>
      </c>
      <c r="B2" t="s">
        <v>97</v>
      </c>
      <c r="C2" t="s">
        <v>1</v>
      </c>
      <c r="D2" s="4" t="s">
        <v>642</v>
      </c>
      <c r="E2" s="4" t="s">
        <v>643</v>
      </c>
      <c r="F2" s="9" t="s">
        <v>644</v>
      </c>
      <c r="G2" s="4" t="s">
        <v>645</v>
      </c>
      <c r="H2" s="4" t="s">
        <v>646</v>
      </c>
      <c r="I2" s="4" t="s">
        <v>647</v>
      </c>
      <c r="J2" s="4" t="s">
        <v>648</v>
      </c>
      <c r="K2" s="4" t="s">
        <v>649</v>
      </c>
      <c r="L2" s="4" t="s">
        <v>650</v>
      </c>
      <c r="M2">
        <v>1E-4</v>
      </c>
      <c r="N2" s="4" t="s">
        <v>651</v>
      </c>
      <c r="O2" t="s">
        <v>38</v>
      </c>
      <c r="P2" t="s">
        <v>887</v>
      </c>
      <c r="Q2" t="s">
        <v>51</v>
      </c>
      <c r="R2" t="s">
        <v>1233</v>
      </c>
      <c r="S2">
        <v>126</v>
      </c>
      <c r="T2">
        <v>2030</v>
      </c>
    </row>
    <row r="3" spans="1:20" x14ac:dyDescent="0.3">
      <c r="A3" t="s">
        <v>702</v>
      </c>
      <c r="B3" t="s">
        <v>145</v>
      </c>
      <c r="C3" t="s">
        <v>31</v>
      </c>
      <c r="D3" s="4" t="s">
        <v>653</v>
      </c>
      <c r="E3" s="4" t="s">
        <v>654</v>
      </c>
      <c r="F3" s="4" t="s">
        <v>655</v>
      </c>
      <c r="G3" s="4" t="s">
        <v>656</v>
      </c>
      <c r="H3" s="4" t="s">
        <v>657</v>
      </c>
      <c r="I3" s="4" t="s">
        <v>658</v>
      </c>
      <c r="J3" s="4" t="s">
        <v>659</v>
      </c>
      <c r="K3" s="4" t="s">
        <v>660</v>
      </c>
      <c r="L3" s="4" t="s">
        <v>661</v>
      </c>
      <c r="M3">
        <v>0.01</v>
      </c>
      <c r="O3" t="s">
        <v>39</v>
      </c>
      <c r="P3" t="s">
        <v>888</v>
      </c>
      <c r="Q3">
        <v>0</v>
      </c>
      <c r="R3" t="s">
        <v>1234</v>
      </c>
      <c r="S3">
        <v>245</v>
      </c>
      <c r="T3">
        <v>2050</v>
      </c>
    </row>
    <row r="4" spans="1:20" x14ac:dyDescent="0.3">
      <c r="A4" t="s">
        <v>740</v>
      </c>
      <c r="B4" t="s">
        <v>149</v>
      </c>
      <c r="E4" s="4" t="s">
        <v>663</v>
      </c>
      <c r="G4" s="4" t="s">
        <v>664</v>
      </c>
      <c r="I4" s="4" t="s">
        <v>665</v>
      </c>
      <c r="J4" s="4" t="s">
        <v>666</v>
      </c>
      <c r="L4" s="4" t="s">
        <v>667</v>
      </c>
      <c r="M4">
        <v>0.05</v>
      </c>
      <c r="O4" t="s">
        <v>40</v>
      </c>
      <c r="P4" t="s">
        <v>889</v>
      </c>
      <c r="Q4">
        <v>0.25</v>
      </c>
      <c r="R4" t="s">
        <v>1235</v>
      </c>
      <c r="S4">
        <v>370</v>
      </c>
      <c r="T4">
        <v>2070</v>
      </c>
    </row>
    <row r="5" spans="1:20" x14ac:dyDescent="0.3">
      <c r="A5" t="s">
        <v>741</v>
      </c>
      <c r="B5" t="s">
        <v>154</v>
      </c>
      <c r="E5" s="4" t="s">
        <v>669</v>
      </c>
      <c r="G5" s="4" t="s">
        <v>670</v>
      </c>
      <c r="J5" s="4" t="s">
        <v>671</v>
      </c>
      <c r="L5" s="4" t="s">
        <v>672</v>
      </c>
      <c r="O5" t="s">
        <v>41</v>
      </c>
      <c r="P5" t="s">
        <v>890</v>
      </c>
      <c r="Q5">
        <v>0.5</v>
      </c>
      <c r="R5" t="s">
        <v>1236</v>
      </c>
      <c r="S5">
        <v>585</v>
      </c>
      <c r="T5">
        <v>2090</v>
      </c>
    </row>
    <row r="6" spans="1:20" x14ac:dyDescent="0.3">
      <c r="A6" t="s">
        <v>641</v>
      </c>
      <c r="B6" t="s">
        <v>158</v>
      </c>
      <c r="G6" t="s">
        <v>948</v>
      </c>
      <c r="J6" s="4" t="s">
        <v>674</v>
      </c>
      <c r="L6" s="4" t="s">
        <v>660</v>
      </c>
      <c r="O6" t="s">
        <v>42</v>
      </c>
      <c r="P6" t="s">
        <v>891</v>
      </c>
      <c r="Q6">
        <v>0.75</v>
      </c>
      <c r="R6" t="s">
        <v>1237</v>
      </c>
    </row>
    <row r="7" spans="1:20" x14ac:dyDescent="0.3">
      <c r="A7" t="s">
        <v>742</v>
      </c>
      <c r="B7" t="s">
        <v>162</v>
      </c>
      <c r="J7" s="4" t="s">
        <v>676</v>
      </c>
      <c r="O7" s="18" t="s">
        <v>868</v>
      </c>
      <c r="Q7">
        <v>1</v>
      </c>
      <c r="R7" t="s">
        <v>1238</v>
      </c>
    </row>
    <row r="8" spans="1:20" x14ac:dyDescent="0.3">
      <c r="A8" t="s">
        <v>686</v>
      </c>
      <c r="B8" t="s">
        <v>166</v>
      </c>
      <c r="J8" s="4" t="s">
        <v>678</v>
      </c>
      <c r="O8" t="s">
        <v>44</v>
      </c>
      <c r="R8" t="s">
        <v>1239</v>
      </c>
    </row>
    <row r="9" spans="1:20" x14ac:dyDescent="0.3">
      <c r="A9" t="s">
        <v>703</v>
      </c>
      <c r="B9" t="s">
        <v>170</v>
      </c>
      <c r="J9" s="4" t="s">
        <v>680</v>
      </c>
      <c r="O9" t="s">
        <v>46</v>
      </c>
      <c r="R9" t="s">
        <v>1240</v>
      </c>
    </row>
    <row r="10" spans="1:20" x14ac:dyDescent="0.3">
      <c r="A10" t="s">
        <v>743</v>
      </c>
      <c r="B10" t="s">
        <v>174</v>
      </c>
      <c r="J10" s="4" t="s">
        <v>682</v>
      </c>
      <c r="O10" t="s">
        <v>48</v>
      </c>
    </row>
    <row r="11" spans="1:20" x14ac:dyDescent="0.3">
      <c r="A11" t="s">
        <v>744</v>
      </c>
      <c r="B11" t="s">
        <v>104</v>
      </c>
      <c r="J11" s="4" t="s">
        <v>684</v>
      </c>
      <c r="O11" t="s">
        <v>49</v>
      </c>
    </row>
    <row r="12" spans="1:20" x14ac:dyDescent="0.3">
      <c r="A12" t="s">
        <v>745</v>
      </c>
      <c r="B12" t="s">
        <v>108</v>
      </c>
    </row>
    <row r="13" spans="1:20" x14ac:dyDescent="0.3">
      <c r="A13" t="s">
        <v>704</v>
      </c>
      <c r="B13" t="s">
        <v>112</v>
      </c>
    </row>
    <row r="14" spans="1:20" x14ac:dyDescent="0.3">
      <c r="A14" t="s">
        <v>705</v>
      </c>
      <c r="B14" t="s">
        <v>117</v>
      </c>
    </row>
    <row r="15" spans="1:20" x14ac:dyDescent="0.3">
      <c r="A15" t="s">
        <v>746</v>
      </c>
      <c r="B15" t="s">
        <v>121</v>
      </c>
    </row>
    <row r="16" spans="1:20" x14ac:dyDescent="0.3">
      <c r="A16" t="s">
        <v>652</v>
      </c>
      <c r="B16" t="s">
        <v>125</v>
      </c>
    </row>
    <row r="17" spans="1:2" x14ac:dyDescent="0.3">
      <c r="A17" t="s">
        <v>706</v>
      </c>
      <c r="B17" t="s">
        <v>129</v>
      </c>
    </row>
    <row r="18" spans="1:2" x14ac:dyDescent="0.3">
      <c r="A18" t="s">
        <v>747</v>
      </c>
      <c r="B18" t="s">
        <v>133</v>
      </c>
    </row>
    <row r="19" spans="1:2" x14ac:dyDescent="0.3">
      <c r="A19" t="s">
        <v>662</v>
      </c>
      <c r="B19" t="s">
        <v>137</v>
      </c>
    </row>
    <row r="20" spans="1:2" x14ac:dyDescent="0.3">
      <c r="A20" t="s">
        <v>707</v>
      </c>
      <c r="B20" t="s">
        <v>141</v>
      </c>
    </row>
    <row r="21" spans="1:2" x14ac:dyDescent="0.3">
      <c r="A21" t="s">
        <v>748</v>
      </c>
      <c r="B21" t="s">
        <v>178</v>
      </c>
    </row>
    <row r="22" spans="1:2" x14ac:dyDescent="0.3">
      <c r="A22" t="s">
        <v>749</v>
      </c>
      <c r="B22" t="s">
        <v>182</v>
      </c>
    </row>
    <row r="23" spans="1:2" x14ac:dyDescent="0.3">
      <c r="A23" t="s">
        <v>751</v>
      </c>
      <c r="B23" t="s">
        <v>186</v>
      </c>
    </row>
    <row r="24" spans="1:2" x14ac:dyDescent="0.3">
      <c r="A24" t="s">
        <v>752</v>
      </c>
      <c r="B24" t="s">
        <v>190</v>
      </c>
    </row>
    <row r="25" spans="1:2" x14ac:dyDescent="0.3">
      <c r="A25" t="s">
        <v>675</v>
      </c>
      <c r="B25" t="s">
        <v>194</v>
      </c>
    </row>
    <row r="26" spans="1:2" x14ac:dyDescent="0.3">
      <c r="A26" t="s">
        <v>750</v>
      </c>
      <c r="B26" t="s">
        <v>198</v>
      </c>
    </row>
    <row r="27" spans="1:2" x14ac:dyDescent="0.3">
      <c r="A27" t="s">
        <v>753</v>
      </c>
      <c r="B27" t="s">
        <v>202</v>
      </c>
    </row>
    <row r="28" spans="1:2" x14ac:dyDescent="0.3">
      <c r="A28" t="s">
        <v>668</v>
      </c>
      <c r="B28" t="s">
        <v>206</v>
      </c>
    </row>
    <row r="29" spans="1:2" x14ac:dyDescent="0.3">
      <c r="A29" t="s">
        <v>687</v>
      </c>
      <c r="B29" t="s">
        <v>210</v>
      </c>
    </row>
    <row r="30" spans="1:2" x14ac:dyDescent="0.3">
      <c r="A30" t="s">
        <v>677</v>
      </c>
      <c r="B30" t="s">
        <v>214</v>
      </c>
    </row>
    <row r="31" spans="1:2" x14ac:dyDescent="0.3">
      <c r="A31" t="s">
        <v>754</v>
      </c>
      <c r="B31" t="s">
        <v>218</v>
      </c>
    </row>
    <row r="32" spans="1:2" x14ac:dyDescent="0.3">
      <c r="A32" t="s">
        <v>673</v>
      </c>
      <c r="B32" t="s">
        <v>222</v>
      </c>
    </row>
    <row r="33" spans="1:2" x14ac:dyDescent="0.3">
      <c r="A33" t="s">
        <v>688</v>
      </c>
      <c r="B33" t="s">
        <v>226</v>
      </c>
    </row>
    <row r="34" spans="1:2" x14ac:dyDescent="0.3">
      <c r="A34" t="s">
        <v>755</v>
      </c>
      <c r="B34" t="s">
        <v>230</v>
      </c>
    </row>
    <row r="35" spans="1:2" x14ac:dyDescent="0.3">
      <c r="A35" t="s">
        <v>708</v>
      </c>
      <c r="B35" t="s">
        <v>234</v>
      </c>
    </row>
    <row r="36" spans="1:2" x14ac:dyDescent="0.3">
      <c r="A36" t="s">
        <v>689</v>
      </c>
      <c r="B36" t="s">
        <v>238</v>
      </c>
    </row>
    <row r="37" spans="1:2" x14ac:dyDescent="0.3">
      <c r="A37" t="s">
        <v>756</v>
      </c>
      <c r="B37" t="s">
        <v>242</v>
      </c>
    </row>
    <row r="38" spans="1:2" x14ac:dyDescent="0.3">
      <c r="A38" t="s">
        <v>709</v>
      </c>
      <c r="B38" t="s">
        <v>246</v>
      </c>
    </row>
    <row r="39" spans="1:2" x14ac:dyDescent="0.3">
      <c r="A39" t="s">
        <v>757</v>
      </c>
      <c r="B39" t="s">
        <v>250</v>
      </c>
    </row>
    <row r="40" spans="1:2" x14ac:dyDescent="0.3">
      <c r="A40" t="s">
        <v>710</v>
      </c>
      <c r="B40" t="s">
        <v>254</v>
      </c>
    </row>
    <row r="41" spans="1:2" x14ac:dyDescent="0.3">
      <c r="A41" t="s">
        <v>758</v>
      </c>
      <c r="B41" t="s">
        <v>258</v>
      </c>
    </row>
    <row r="42" spans="1:2" x14ac:dyDescent="0.3">
      <c r="A42" t="s">
        <v>759</v>
      </c>
      <c r="B42" t="s">
        <v>262</v>
      </c>
    </row>
    <row r="43" spans="1:2" x14ac:dyDescent="0.3">
      <c r="A43" t="s">
        <v>690</v>
      </c>
      <c r="B43" t="s">
        <v>266</v>
      </c>
    </row>
    <row r="44" spans="1:2" x14ac:dyDescent="0.3">
      <c r="A44" t="s">
        <v>760</v>
      </c>
      <c r="B44" t="s">
        <v>270</v>
      </c>
    </row>
    <row r="45" spans="1:2" x14ac:dyDescent="0.3">
      <c r="A45" t="s">
        <v>699</v>
      </c>
      <c r="B45" t="s">
        <v>274</v>
      </c>
    </row>
    <row r="46" spans="1:2" x14ac:dyDescent="0.3">
      <c r="A46" t="s">
        <v>761</v>
      </c>
      <c r="B46" t="s">
        <v>279</v>
      </c>
    </row>
    <row r="47" spans="1:2" x14ac:dyDescent="0.3">
      <c r="A47" t="s">
        <v>762</v>
      </c>
      <c r="B47" t="s">
        <v>283</v>
      </c>
    </row>
    <row r="48" spans="1:2" x14ac:dyDescent="0.3">
      <c r="A48" t="s">
        <v>711</v>
      </c>
      <c r="B48" t="s">
        <v>287</v>
      </c>
    </row>
    <row r="49" spans="1:2" x14ac:dyDescent="0.3">
      <c r="A49" t="s">
        <v>763</v>
      </c>
      <c r="B49" t="s">
        <v>291</v>
      </c>
    </row>
    <row r="50" spans="1:2" x14ac:dyDescent="0.3">
      <c r="A50" t="s">
        <v>738</v>
      </c>
      <c r="B50" t="s">
        <v>295</v>
      </c>
    </row>
    <row r="51" spans="1:2" x14ac:dyDescent="0.3">
      <c r="A51" t="s">
        <v>712</v>
      </c>
      <c r="B51" t="s">
        <v>299</v>
      </c>
    </row>
    <row r="52" spans="1:2" x14ac:dyDescent="0.3">
      <c r="A52" t="s">
        <v>713</v>
      </c>
      <c r="B52" t="s">
        <v>303</v>
      </c>
    </row>
    <row r="53" spans="1:2" x14ac:dyDescent="0.3">
      <c r="A53" t="s">
        <v>764</v>
      </c>
      <c r="B53" t="s">
        <v>307</v>
      </c>
    </row>
    <row r="54" spans="1:2" x14ac:dyDescent="0.3">
      <c r="A54" t="s">
        <v>765</v>
      </c>
      <c r="B54" t="s">
        <v>311</v>
      </c>
    </row>
    <row r="55" spans="1:2" x14ac:dyDescent="0.3">
      <c r="A55" t="s">
        <v>766</v>
      </c>
      <c r="B55" t="s">
        <v>315</v>
      </c>
    </row>
    <row r="56" spans="1:2" x14ac:dyDescent="0.3">
      <c r="A56" t="s">
        <v>767</v>
      </c>
      <c r="B56" t="s">
        <v>319</v>
      </c>
    </row>
    <row r="57" spans="1:2" x14ac:dyDescent="0.3">
      <c r="A57" t="s">
        <v>768</v>
      </c>
      <c r="B57" t="s">
        <v>323</v>
      </c>
    </row>
    <row r="58" spans="1:2" x14ac:dyDescent="0.3">
      <c r="A58" t="s">
        <v>714</v>
      </c>
      <c r="B58" t="s">
        <v>327</v>
      </c>
    </row>
    <row r="59" spans="1:2" x14ac:dyDescent="0.3">
      <c r="A59" t="s">
        <v>769</v>
      </c>
      <c r="B59" t="s">
        <v>331</v>
      </c>
    </row>
    <row r="60" spans="1:2" x14ac:dyDescent="0.3">
      <c r="A60" t="s">
        <v>715</v>
      </c>
      <c r="B60" t="s">
        <v>335</v>
      </c>
    </row>
    <row r="61" spans="1:2" x14ac:dyDescent="0.3">
      <c r="A61" t="s">
        <v>691</v>
      </c>
      <c r="B61" t="s">
        <v>339</v>
      </c>
    </row>
    <row r="62" spans="1:2" x14ac:dyDescent="0.3">
      <c r="A62" t="s">
        <v>770</v>
      </c>
      <c r="B62" t="s">
        <v>343</v>
      </c>
    </row>
    <row r="63" spans="1:2" x14ac:dyDescent="0.3">
      <c r="A63" t="s">
        <v>771</v>
      </c>
      <c r="B63" t="s">
        <v>347</v>
      </c>
    </row>
    <row r="64" spans="1:2" x14ac:dyDescent="0.3">
      <c r="A64" t="s">
        <v>772</v>
      </c>
      <c r="B64" t="s">
        <v>351</v>
      </c>
    </row>
    <row r="65" spans="1:2" x14ac:dyDescent="0.3">
      <c r="A65" t="s">
        <v>692</v>
      </c>
      <c r="B65" t="s">
        <v>355</v>
      </c>
    </row>
    <row r="66" spans="1:2" x14ac:dyDescent="0.3">
      <c r="A66" t="s">
        <v>716</v>
      </c>
      <c r="B66" t="s">
        <v>359</v>
      </c>
    </row>
    <row r="67" spans="1:2" x14ac:dyDescent="0.3">
      <c r="A67" t="s">
        <v>773</v>
      </c>
      <c r="B67" t="s">
        <v>363</v>
      </c>
    </row>
    <row r="68" spans="1:2" x14ac:dyDescent="0.3">
      <c r="A68" t="s">
        <v>774</v>
      </c>
      <c r="B68" t="s">
        <v>367</v>
      </c>
    </row>
    <row r="69" spans="1:2" x14ac:dyDescent="0.3">
      <c r="A69" t="s">
        <v>775</v>
      </c>
      <c r="B69" t="s">
        <v>371</v>
      </c>
    </row>
    <row r="70" spans="1:2" x14ac:dyDescent="0.3">
      <c r="A70" t="s">
        <v>776</v>
      </c>
      <c r="B70" t="s">
        <v>379</v>
      </c>
    </row>
    <row r="71" spans="1:2" x14ac:dyDescent="0.3">
      <c r="A71" t="s">
        <v>777</v>
      </c>
      <c r="B71" t="s">
        <v>384</v>
      </c>
    </row>
    <row r="72" spans="1:2" x14ac:dyDescent="0.3">
      <c r="A72" t="s">
        <v>717</v>
      </c>
      <c r="B72" t="s">
        <v>389</v>
      </c>
    </row>
    <row r="73" spans="1:2" x14ac:dyDescent="0.3">
      <c r="A73" t="s">
        <v>778</v>
      </c>
      <c r="B73" t="s">
        <v>393</v>
      </c>
    </row>
    <row r="74" spans="1:2" x14ac:dyDescent="0.3">
      <c r="A74" t="s">
        <v>718</v>
      </c>
      <c r="B74" t="s">
        <v>398</v>
      </c>
    </row>
    <row r="75" spans="1:2" x14ac:dyDescent="0.3">
      <c r="A75" t="s">
        <v>779</v>
      </c>
      <c r="B75" t="s">
        <v>402</v>
      </c>
    </row>
    <row r="76" spans="1:2" x14ac:dyDescent="0.3">
      <c r="A76" t="s">
        <v>780</v>
      </c>
      <c r="B76" t="s">
        <v>406</v>
      </c>
    </row>
    <row r="77" spans="1:2" x14ac:dyDescent="0.3">
      <c r="A77" t="s">
        <v>781</v>
      </c>
      <c r="B77" t="s">
        <v>411</v>
      </c>
    </row>
    <row r="78" spans="1:2" x14ac:dyDescent="0.3">
      <c r="A78" t="s">
        <v>782</v>
      </c>
      <c r="B78" t="s">
        <v>415</v>
      </c>
    </row>
    <row r="79" spans="1:2" x14ac:dyDescent="0.3">
      <c r="A79" t="s">
        <v>783</v>
      </c>
      <c r="B79" t="s">
        <v>420</v>
      </c>
    </row>
    <row r="80" spans="1:2" x14ac:dyDescent="0.3">
      <c r="A80" t="s">
        <v>784</v>
      </c>
      <c r="B80" t="s">
        <v>424</v>
      </c>
    </row>
    <row r="81" spans="1:2" x14ac:dyDescent="0.3">
      <c r="A81" t="s">
        <v>785</v>
      </c>
      <c r="B81" t="s">
        <v>429</v>
      </c>
    </row>
    <row r="82" spans="1:2" x14ac:dyDescent="0.3">
      <c r="A82" t="s">
        <v>719</v>
      </c>
      <c r="B82" t="s">
        <v>434</v>
      </c>
    </row>
    <row r="83" spans="1:2" x14ac:dyDescent="0.3">
      <c r="A83" t="s">
        <v>786</v>
      </c>
      <c r="B83" t="s">
        <v>438</v>
      </c>
    </row>
    <row r="84" spans="1:2" x14ac:dyDescent="0.3">
      <c r="A84" t="s">
        <v>787</v>
      </c>
      <c r="B84" t="s">
        <v>442</v>
      </c>
    </row>
    <row r="85" spans="1:2" x14ac:dyDescent="0.3">
      <c r="A85" t="s">
        <v>788</v>
      </c>
      <c r="B85" t="s">
        <v>446</v>
      </c>
    </row>
    <row r="86" spans="1:2" x14ac:dyDescent="0.3">
      <c r="A86" t="s">
        <v>789</v>
      </c>
      <c r="B86" t="s">
        <v>450</v>
      </c>
    </row>
    <row r="87" spans="1:2" x14ac:dyDescent="0.3">
      <c r="A87" t="s">
        <v>720</v>
      </c>
      <c r="B87" t="s">
        <v>454</v>
      </c>
    </row>
    <row r="88" spans="1:2" x14ac:dyDescent="0.3">
      <c r="A88" t="s">
        <v>721</v>
      </c>
      <c r="B88" t="s">
        <v>458</v>
      </c>
    </row>
    <row r="89" spans="1:2" x14ac:dyDescent="0.3">
      <c r="A89" t="s">
        <v>790</v>
      </c>
      <c r="B89" t="s">
        <v>462</v>
      </c>
    </row>
    <row r="90" spans="1:2" x14ac:dyDescent="0.3">
      <c r="A90" t="s">
        <v>791</v>
      </c>
      <c r="B90" t="s">
        <v>466</v>
      </c>
    </row>
    <row r="91" spans="1:2" x14ac:dyDescent="0.3">
      <c r="A91" t="s">
        <v>792</v>
      </c>
      <c r="B91" t="s">
        <v>470</v>
      </c>
    </row>
    <row r="92" spans="1:2" x14ac:dyDescent="0.3">
      <c r="A92" t="s">
        <v>793</v>
      </c>
      <c r="B92" t="s">
        <v>474</v>
      </c>
    </row>
    <row r="93" spans="1:2" x14ac:dyDescent="0.3">
      <c r="A93" t="s">
        <v>794</v>
      </c>
      <c r="B93" t="s">
        <v>478</v>
      </c>
    </row>
    <row r="94" spans="1:2" x14ac:dyDescent="0.3">
      <c r="A94" t="s">
        <v>795</v>
      </c>
      <c r="B94" t="s">
        <v>482</v>
      </c>
    </row>
    <row r="95" spans="1:2" x14ac:dyDescent="0.3">
      <c r="A95" t="s">
        <v>796</v>
      </c>
      <c r="B95" t="s">
        <v>486</v>
      </c>
    </row>
    <row r="96" spans="1:2" x14ac:dyDescent="0.3">
      <c r="A96" t="s">
        <v>679</v>
      </c>
      <c r="B96" t="s">
        <v>490</v>
      </c>
    </row>
    <row r="97" spans="1:2" x14ac:dyDescent="0.3">
      <c r="A97" t="s">
        <v>693</v>
      </c>
      <c r="B97" t="s">
        <v>494</v>
      </c>
    </row>
    <row r="98" spans="1:2" x14ac:dyDescent="0.3">
      <c r="A98" t="s">
        <v>722</v>
      </c>
      <c r="B98" t="s">
        <v>498</v>
      </c>
    </row>
    <row r="99" spans="1:2" x14ac:dyDescent="0.3">
      <c r="A99" t="s">
        <v>797</v>
      </c>
      <c r="B99" t="s">
        <v>502</v>
      </c>
    </row>
    <row r="100" spans="1:2" x14ac:dyDescent="0.3">
      <c r="A100" t="s">
        <v>723</v>
      </c>
      <c r="B100" t="s">
        <v>506</v>
      </c>
    </row>
    <row r="101" spans="1:2" x14ac:dyDescent="0.3">
      <c r="A101" t="s">
        <v>798</v>
      </c>
      <c r="B101" t="s">
        <v>514</v>
      </c>
    </row>
    <row r="102" spans="1:2" x14ac:dyDescent="0.3">
      <c r="A102" t="s">
        <v>799</v>
      </c>
      <c r="B102" t="s">
        <v>520</v>
      </c>
    </row>
    <row r="103" spans="1:2" x14ac:dyDescent="0.3">
      <c r="A103" t="s">
        <v>800</v>
      </c>
      <c r="B103" t="s">
        <v>524</v>
      </c>
    </row>
    <row r="104" spans="1:2" x14ac:dyDescent="0.3">
      <c r="A104" t="s">
        <v>801</v>
      </c>
      <c r="B104" t="s">
        <v>528</v>
      </c>
    </row>
    <row r="105" spans="1:2" x14ac:dyDescent="0.3">
      <c r="A105" t="s">
        <v>802</v>
      </c>
      <c r="B105" t="s">
        <v>1008</v>
      </c>
    </row>
    <row r="106" spans="1:2" x14ac:dyDescent="0.3">
      <c r="A106" t="s">
        <v>724</v>
      </c>
      <c r="B106" t="s">
        <v>1014</v>
      </c>
    </row>
    <row r="107" spans="1:2" x14ac:dyDescent="0.3">
      <c r="A107" t="s">
        <v>803</v>
      </c>
      <c r="B107" t="s">
        <v>1017</v>
      </c>
    </row>
    <row r="108" spans="1:2" x14ac:dyDescent="0.3">
      <c r="A108" t="s">
        <v>694</v>
      </c>
      <c r="B108" t="s">
        <v>1020</v>
      </c>
    </row>
    <row r="109" spans="1:2" x14ac:dyDescent="0.3">
      <c r="A109" t="s">
        <v>804</v>
      </c>
      <c r="B109" t="s">
        <v>1023</v>
      </c>
    </row>
    <row r="110" spans="1:2" x14ac:dyDescent="0.3">
      <c r="A110" t="s">
        <v>805</v>
      </c>
      <c r="B110" t="s">
        <v>1026</v>
      </c>
    </row>
    <row r="111" spans="1:2" x14ac:dyDescent="0.3">
      <c r="A111" t="s">
        <v>806</v>
      </c>
      <c r="B111" t="s">
        <v>1029</v>
      </c>
    </row>
    <row r="112" spans="1:2" x14ac:dyDescent="0.3">
      <c r="A112" t="s">
        <v>725</v>
      </c>
      <c r="B112" t="s">
        <v>1032</v>
      </c>
    </row>
    <row r="113" spans="1:2" x14ac:dyDescent="0.3">
      <c r="A113" t="s">
        <v>807</v>
      </c>
      <c r="B113" t="s">
        <v>1035</v>
      </c>
    </row>
    <row r="114" spans="1:2" x14ac:dyDescent="0.3">
      <c r="A114" t="s">
        <v>808</v>
      </c>
      <c r="B114" t="s">
        <v>1038</v>
      </c>
    </row>
    <row r="115" spans="1:2" x14ac:dyDescent="0.3">
      <c r="A115" t="s">
        <v>809</v>
      </c>
      <c r="B115" t="s">
        <v>1041</v>
      </c>
    </row>
    <row r="116" spans="1:2" x14ac:dyDescent="0.3">
      <c r="A116" t="s">
        <v>695</v>
      </c>
      <c r="B116" t="s">
        <v>1044</v>
      </c>
    </row>
    <row r="117" spans="1:2" x14ac:dyDescent="0.3">
      <c r="A117" t="s">
        <v>810</v>
      </c>
      <c r="B117" t="s">
        <v>1047</v>
      </c>
    </row>
    <row r="118" spans="1:2" x14ac:dyDescent="0.3">
      <c r="A118" t="s">
        <v>696</v>
      </c>
      <c r="B118" t="s">
        <v>1050</v>
      </c>
    </row>
    <row r="119" spans="1:2" x14ac:dyDescent="0.3">
      <c r="A119" t="s">
        <v>697</v>
      </c>
      <c r="B119" t="s">
        <v>1054</v>
      </c>
    </row>
    <row r="120" spans="1:2" x14ac:dyDescent="0.3">
      <c r="A120" t="s">
        <v>811</v>
      </c>
      <c r="B120" t="s">
        <v>1056</v>
      </c>
    </row>
    <row r="121" spans="1:2" x14ac:dyDescent="0.3">
      <c r="A121" t="s">
        <v>726</v>
      </c>
      <c r="B121" t="s">
        <v>1058</v>
      </c>
    </row>
    <row r="122" spans="1:2" x14ac:dyDescent="0.3">
      <c r="A122" t="s">
        <v>727</v>
      </c>
      <c r="B122" t="s">
        <v>1060</v>
      </c>
    </row>
    <row r="123" spans="1:2" x14ac:dyDescent="0.3">
      <c r="A123" t="s">
        <v>812</v>
      </c>
      <c r="B123" t="s">
        <v>1062</v>
      </c>
    </row>
    <row r="124" spans="1:2" x14ac:dyDescent="0.3">
      <c r="A124" t="s">
        <v>698</v>
      </c>
      <c r="B124" t="s">
        <v>1064</v>
      </c>
    </row>
    <row r="125" spans="1:2" x14ac:dyDescent="0.3">
      <c r="A125" t="s">
        <v>813</v>
      </c>
      <c r="B125" t="s">
        <v>1066</v>
      </c>
    </row>
    <row r="126" spans="1:2" x14ac:dyDescent="0.3">
      <c r="A126" t="s">
        <v>728</v>
      </c>
      <c r="B126" t="s">
        <v>1068</v>
      </c>
    </row>
    <row r="127" spans="1:2" x14ac:dyDescent="0.3">
      <c r="A127" t="s">
        <v>681</v>
      </c>
      <c r="B127" t="s">
        <v>1070</v>
      </c>
    </row>
    <row r="128" spans="1:2" x14ac:dyDescent="0.3">
      <c r="A128" t="s">
        <v>814</v>
      </c>
      <c r="B128" t="s">
        <v>1072</v>
      </c>
    </row>
    <row r="129" spans="1:2" x14ac:dyDescent="0.3">
      <c r="A129" t="s">
        <v>815</v>
      </c>
      <c r="B129" t="s">
        <v>1074</v>
      </c>
    </row>
    <row r="130" spans="1:2" x14ac:dyDescent="0.3">
      <c r="A130" t="s">
        <v>816</v>
      </c>
      <c r="B130" t="s">
        <v>1076</v>
      </c>
    </row>
    <row r="131" spans="1:2" x14ac:dyDescent="0.3">
      <c r="A131" t="s">
        <v>817</v>
      </c>
      <c r="B131" t="s">
        <v>1079</v>
      </c>
    </row>
    <row r="132" spans="1:2" x14ac:dyDescent="0.3">
      <c r="A132" t="s">
        <v>729</v>
      </c>
      <c r="B132" t="s">
        <v>1084</v>
      </c>
    </row>
    <row r="133" spans="1:2" x14ac:dyDescent="0.3">
      <c r="A133" t="s">
        <v>818</v>
      </c>
      <c r="B133" t="s">
        <v>1087</v>
      </c>
    </row>
    <row r="134" spans="1:2" x14ac:dyDescent="0.3">
      <c r="A134" t="s">
        <v>819</v>
      </c>
      <c r="B134" t="s">
        <v>1090</v>
      </c>
    </row>
    <row r="135" spans="1:2" x14ac:dyDescent="0.3">
      <c r="A135" t="s">
        <v>730</v>
      </c>
      <c r="B135" t="s">
        <v>1093</v>
      </c>
    </row>
    <row r="136" spans="1:2" x14ac:dyDescent="0.3">
      <c r="A136" t="s">
        <v>731</v>
      </c>
      <c r="B136" t="s">
        <v>1096</v>
      </c>
    </row>
    <row r="137" spans="1:2" x14ac:dyDescent="0.3">
      <c r="A137" t="s">
        <v>820</v>
      </c>
      <c r="B137" t="s">
        <v>1099</v>
      </c>
    </row>
    <row r="138" spans="1:2" x14ac:dyDescent="0.3">
      <c r="A138" t="s">
        <v>821</v>
      </c>
      <c r="B138" t="s">
        <v>1102</v>
      </c>
    </row>
    <row r="139" spans="1:2" x14ac:dyDescent="0.3">
      <c r="A139" t="s">
        <v>683</v>
      </c>
      <c r="B139" t="s">
        <v>1105</v>
      </c>
    </row>
    <row r="140" spans="1:2" x14ac:dyDescent="0.3">
      <c r="A140" t="s">
        <v>822</v>
      </c>
      <c r="B140" t="s">
        <v>1108</v>
      </c>
    </row>
    <row r="141" spans="1:2" x14ac:dyDescent="0.3">
      <c r="A141" t="s">
        <v>823</v>
      </c>
      <c r="B141" t="s">
        <v>1111</v>
      </c>
    </row>
    <row r="142" spans="1:2" x14ac:dyDescent="0.3">
      <c r="A142" t="s">
        <v>732</v>
      </c>
      <c r="B142" t="s">
        <v>1114</v>
      </c>
    </row>
    <row r="143" spans="1:2" x14ac:dyDescent="0.3">
      <c r="A143" t="s">
        <v>824</v>
      </c>
      <c r="B143" t="s">
        <v>1117</v>
      </c>
    </row>
    <row r="144" spans="1:2" x14ac:dyDescent="0.3">
      <c r="A144" t="s">
        <v>825</v>
      </c>
      <c r="B144" t="s">
        <v>1120</v>
      </c>
    </row>
    <row r="145" spans="1:2" x14ac:dyDescent="0.3">
      <c r="A145" t="s">
        <v>826</v>
      </c>
      <c r="B145" t="s">
        <v>1126</v>
      </c>
    </row>
    <row r="146" spans="1:2" x14ac:dyDescent="0.3">
      <c r="A146" t="s">
        <v>827</v>
      </c>
      <c r="B146" t="s">
        <v>1129</v>
      </c>
    </row>
    <row r="147" spans="1:2" x14ac:dyDescent="0.3">
      <c r="A147" t="s">
        <v>733</v>
      </c>
      <c r="B147" t="s">
        <v>1132</v>
      </c>
    </row>
    <row r="148" spans="1:2" x14ac:dyDescent="0.3">
      <c r="A148" t="s">
        <v>734</v>
      </c>
      <c r="B148" t="s">
        <v>1135</v>
      </c>
    </row>
    <row r="149" spans="1:2" x14ac:dyDescent="0.3">
      <c r="A149" t="s">
        <v>828</v>
      </c>
      <c r="B149" t="s">
        <v>1138</v>
      </c>
    </row>
    <row r="150" spans="1:2" x14ac:dyDescent="0.3">
      <c r="A150" t="s">
        <v>829</v>
      </c>
      <c r="B150" t="s">
        <v>1141</v>
      </c>
    </row>
    <row r="151" spans="1:2" x14ac:dyDescent="0.3">
      <c r="A151" t="s">
        <v>830</v>
      </c>
      <c r="B151" t="s">
        <v>1144</v>
      </c>
    </row>
    <row r="152" spans="1:2" x14ac:dyDescent="0.3">
      <c r="A152" t="s">
        <v>831</v>
      </c>
      <c r="B152" t="s">
        <v>1147</v>
      </c>
    </row>
    <row r="153" spans="1:2" x14ac:dyDescent="0.3">
      <c r="A153" t="s">
        <v>832</v>
      </c>
      <c r="B153" t="s">
        <v>1151</v>
      </c>
    </row>
    <row r="154" spans="1:2" x14ac:dyDescent="0.3">
      <c r="A154" t="s">
        <v>833</v>
      </c>
      <c r="B154" t="s">
        <v>1154</v>
      </c>
    </row>
    <row r="155" spans="1:2" x14ac:dyDescent="0.3">
      <c r="A155" t="s">
        <v>834</v>
      </c>
      <c r="B155" t="s">
        <v>1158</v>
      </c>
    </row>
    <row r="156" spans="1:2" x14ac:dyDescent="0.3">
      <c r="A156" t="s">
        <v>735</v>
      </c>
      <c r="B156" t="s">
        <v>1161</v>
      </c>
    </row>
    <row r="157" spans="1:2" x14ac:dyDescent="0.3">
      <c r="A157" t="s">
        <v>835</v>
      </c>
      <c r="B157" t="s">
        <v>1165</v>
      </c>
    </row>
    <row r="158" spans="1:2" x14ac:dyDescent="0.3">
      <c r="A158" t="s">
        <v>837</v>
      </c>
      <c r="B158" t="s">
        <v>1168</v>
      </c>
    </row>
    <row r="159" spans="1:2" x14ac:dyDescent="0.3">
      <c r="A159" t="s">
        <v>737</v>
      </c>
      <c r="B159" t="s">
        <v>1171</v>
      </c>
    </row>
    <row r="160" spans="1:2" x14ac:dyDescent="0.3">
      <c r="A160" t="s">
        <v>836</v>
      </c>
      <c r="B160" t="s">
        <v>1174</v>
      </c>
    </row>
    <row r="161" spans="1:2" x14ac:dyDescent="0.3">
      <c r="A161" t="s">
        <v>685</v>
      </c>
      <c r="B161" t="s">
        <v>1177</v>
      </c>
    </row>
    <row r="162" spans="1:2" x14ac:dyDescent="0.3">
      <c r="A162" t="s">
        <v>736</v>
      </c>
      <c r="B162" t="s">
        <v>1180</v>
      </c>
    </row>
    <row r="163" spans="1:2" x14ac:dyDescent="0.3">
      <c r="A163" t="s">
        <v>700</v>
      </c>
      <c r="B163" t="s">
        <v>1183</v>
      </c>
    </row>
    <row r="164" spans="1:2" x14ac:dyDescent="0.3">
      <c r="A164" t="s">
        <v>845</v>
      </c>
      <c r="B164" t="s">
        <v>1186</v>
      </c>
    </row>
    <row r="165" spans="1:2" x14ac:dyDescent="0.3">
      <c r="A165" t="s">
        <v>846</v>
      </c>
      <c r="B165" t="s">
        <v>1190</v>
      </c>
    </row>
    <row r="166" spans="1:2" x14ac:dyDescent="0.3">
      <c r="A166" t="s">
        <v>847</v>
      </c>
      <c r="B166" t="s">
        <v>1193</v>
      </c>
    </row>
    <row r="167" spans="1:2" x14ac:dyDescent="0.3">
      <c r="A167" t="s">
        <v>838</v>
      </c>
      <c r="B167" t="s">
        <v>1197</v>
      </c>
    </row>
    <row r="168" spans="1:2" x14ac:dyDescent="0.3">
      <c r="A168" t="s">
        <v>701</v>
      </c>
      <c r="B168" t="s">
        <v>1199</v>
      </c>
    </row>
    <row r="169" spans="1:2" x14ac:dyDescent="0.3">
      <c r="A169" t="s">
        <v>839</v>
      </c>
      <c r="B169" t="s">
        <v>1203</v>
      </c>
    </row>
    <row r="170" spans="1:2" x14ac:dyDescent="0.3">
      <c r="A170" t="s">
        <v>840</v>
      </c>
      <c r="B170" t="s">
        <v>1206</v>
      </c>
    </row>
    <row r="171" spans="1:2" x14ac:dyDescent="0.3">
      <c r="A171" t="s">
        <v>844</v>
      </c>
      <c r="B171" t="s">
        <v>1209</v>
      </c>
    </row>
    <row r="172" spans="1:2" x14ac:dyDescent="0.3">
      <c r="A172" t="s">
        <v>841</v>
      </c>
      <c r="B172" t="s">
        <v>1212</v>
      </c>
    </row>
    <row r="173" spans="1:2" x14ac:dyDescent="0.3">
      <c r="A173" t="s">
        <v>842</v>
      </c>
      <c r="B173" t="s">
        <v>1214</v>
      </c>
    </row>
    <row r="174" spans="1:2" x14ac:dyDescent="0.3">
      <c r="A174" t="s">
        <v>843</v>
      </c>
      <c r="B174" t="s">
        <v>1217</v>
      </c>
    </row>
    <row r="175" spans="1:2" x14ac:dyDescent="0.3">
      <c r="B175" t="s">
        <v>1220</v>
      </c>
    </row>
    <row r="176" spans="1:2" x14ac:dyDescent="0.3">
      <c r="B176" t="s">
        <v>1223</v>
      </c>
    </row>
    <row r="177" spans="2:2" x14ac:dyDescent="0.3">
      <c r="B177" t="s">
        <v>1226</v>
      </c>
    </row>
    <row r="178" spans="2:2" x14ac:dyDescent="0.3">
      <c r="B178" t="s">
        <v>1229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4"/>
  <sheetViews>
    <sheetView workbookViewId="0">
      <selection activeCell="B2" sqref="B2"/>
    </sheetView>
  </sheetViews>
  <sheetFormatPr defaultColWidth="11.5546875" defaultRowHeight="14.4" x14ac:dyDescent="0.3"/>
  <sheetData>
    <row r="2" spans="1:3" x14ac:dyDescent="0.3">
      <c r="A2" s="4" t="s">
        <v>640</v>
      </c>
      <c r="B2" t="str">
        <f>CONCATENATE("c(",A2,",",A3,",",A4,",",A5,",",A6,",",A7,",",A8,",",A9,",",A10,",",A11,",",A12,",",A13,",",A14,",",A15,",",A16,",",A17,",",A18,",",A19,",",A20,",",A21,",",A22,",",A23,",",A24,",",A25,",",A26,",",A27,",",A28,",",A29,",",A30,",",A31,",",A32,",",A33,",",A34,",",A35,",",A36,",",A37,",",A38,",",A39,",",A40,",",A41,",",A42,",",A43,",",A44,",",A45,",",A46,",",A47,",",A48,",",A49,",",A50,",",A51,",",A52,",",A53,",",A54,",",A55,",",A56,",",A57,",",A58,",",A59,",",A60,",",A61,",",A62,",",A63,",",A64,",",A65,",",A66,",",A67,",",A68,",",A69,",",A70,",",A71,",",A72,",",A73,",",A74,",",A75,",",A76,",",A77,",",A78,",",A79,",",A80,",",A81,",",A82,",",A83,",",A84,",",A85,",",A86,",",A87,",",A88,",",A89,",",A90,",",A91,",",A92,",",A93,",",A94,",",A95,",",A96,",",A97,",",A98,",",A99,",",A100,",",A101,",",A102,",",A103,",",A104,")")</f>
        <v>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v>
      </c>
    </row>
    <row r="3" spans="1:3" x14ac:dyDescent="0.3">
      <c r="A3" t="s">
        <v>534</v>
      </c>
    </row>
    <row r="4" spans="1:3" x14ac:dyDescent="0.3">
      <c r="A4" t="s">
        <v>535</v>
      </c>
    </row>
    <row r="5" spans="1:3" x14ac:dyDescent="0.3">
      <c r="A5" t="s">
        <v>536</v>
      </c>
      <c r="C5" t="s">
        <v>636</v>
      </c>
    </row>
    <row r="6" spans="1:3" x14ac:dyDescent="0.3">
      <c r="A6" t="s">
        <v>537</v>
      </c>
    </row>
    <row r="7" spans="1:3" x14ac:dyDescent="0.3">
      <c r="A7" t="s">
        <v>538</v>
      </c>
    </row>
    <row r="8" spans="1:3" x14ac:dyDescent="0.3">
      <c r="A8" t="s">
        <v>539</v>
      </c>
    </row>
    <row r="9" spans="1:3" x14ac:dyDescent="0.3">
      <c r="A9" t="s">
        <v>540</v>
      </c>
    </row>
    <row r="10" spans="1:3" x14ac:dyDescent="0.3">
      <c r="A10" t="s">
        <v>541</v>
      </c>
    </row>
    <row r="11" spans="1:3" x14ac:dyDescent="0.3">
      <c r="A11" t="s">
        <v>542</v>
      </c>
    </row>
    <row r="12" spans="1:3" x14ac:dyDescent="0.3">
      <c r="A12" t="s">
        <v>543</v>
      </c>
    </row>
    <row r="13" spans="1:3" x14ac:dyDescent="0.3">
      <c r="A13" t="s">
        <v>544</v>
      </c>
    </row>
    <row r="14" spans="1:3" x14ac:dyDescent="0.3">
      <c r="A14" t="s">
        <v>545</v>
      </c>
    </row>
    <row r="15" spans="1:3" x14ac:dyDescent="0.3">
      <c r="A15" t="s">
        <v>546</v>
      </c>
    </row>
    <row r="16" spans="1:3" x14ac:dyDescent="0.3">
      <c r="A16" t="s">
        <v>547</v>
      </c>
    </row>
    <row r="17" spans="1:1" x14ac:dyDescent="0.3">
      <c r="A17" t="s">
        <v>548</v>
      </c>
    </row>
    <row r="18" spans="1:1" x14ac:dyDescent="0.3">
      <c r="A18" t="s">
        <v>549</v>
      </c>
    </row>
    <row r="19" spans="1:1" x14ac:dyDescent="0.3">
      <c r="A19" t="s">
        <v>550</v>
      </c>
    </row>
    <row r="20" spans="1:1" x14ac:dyDescent="0.3">
      <c r="A20" t="s">
        <v>551</v>
      </c>
    </row>
    <row r="21" spans="1:1" x14ac:dyDescent="0.3">
      <c r="A21" t="s">
        <v>552</v>
      </c>
    </row>
    <row r="22" spans="1:1" x14ac:dyDescent="0.3">
      <c r="A22" t="s">
        <v>553</v>
      </c>
    </row>
    <row r="23" spans="1:1" x14ac:dyDescent="0.3">
      <c r="A23" t="s">
        <v>554</v>
      </c>
    </row>
    <row r="24" spans="1:1" x14ac:dyDescent="0.3">
      <c r="A24" t="s">
        <v>555</v>
      </c>
    </row>
    <row r="25" spans="1:1" x14ac:dyDescent="0.3">
      <c r="A25" t="s">
        <v>556</v>
      </c>
    </row>
    <row r="26" spans="1:1" x14ac:dyDescent="0.3">
      <c r="A26" t="s">
        <v>557</v>
      </c>
    </row>
    <row r="27" spans="1:1" x14ac:dyDescent="0.3">
      <c r="A27" t="s">
        <v>558</v>
      </c>
    </row>
    <row r="28" spans="1:1" x14ac:dyDescent="0.3">
      <c r="A28" t="s">
        <v>559</v>
      </c>
    </row>
    <row r="29" spans="1:1" x14ac:dyDescent="0.3">
      <c r="A29" t="s">
        <v>560</v>
      </c>
    </row>
    <row r="30" spans="1:1" x14ac:dyDescent="0.3">
      <c r="A30" t="s">
        <v>561</v>
      </c>
    </row>
    <row r="31" spans="1:1" x14ac:dyDescent="0.3">
      <c r="A31" t="s">
        <v>562</v>
      </c>
    </row>
    <row r="32" spans="1:1" x14ac:dyDescent="0.3">
      <c r="A32" t="s">
        <v>563</v>
      </c>
    </row>
    <row r="33" spans="1:1" x14ac:dyDescent="0.3">
      <c r="A33" t="s">
        <v>564</v>
      </c>
    </row>
    <row r="34" spans="1:1" x14ac:dyDescent="0.3">
      <c r="A34" t="s">
        <v>565</v>
      </c>
    </row>
    <row r="35" spans="1:1" x14ac:dyDescent="0.3">
      <c r="A35" t="s">
        <v>566</v>
      </c>
    </row>
    <row r="36" spans="1:1" x14ac:dyDescent="0.3">
      <c r="A36" t="s">
        <v>567</v>
      </c>
    </row>
    <row r="37" spans="1:1" x14ac:dyDescent="0.3">
      <c r="A37" t="s">
        <v>568</v>
      </c>
    </row>
    <row r="38" spans="1:1" x14ac:dyDescent="0.3">
      <c r="A38" t="s">
        <v>569</v>
      </c>
    </row>
    <row r="39" spans="1:1" x14ac:dyDescent="0.3">
      <c r="A39" t="s">
        <v>570</v>
      </c>
    </row>
    <row r="40" spans="1:1" x14ac:dyDescent="0.3">
      <c r="A40" t="s">
        <v>571</v>
      </c>
    </row>
    <row r="41" spans="1:1" x14ac:dyDescent="0.3">
      <c r="A41" t="s">
        <v>572</v>
      </c>
    </row>
    <row r="42" spans="1:1" x14ac:dyDescent="0.3">
      <c r="A42" t="s">
        <v>573</v>
      </c>
    </row>
    <row r="43" spans="1:1" x14ac:dyDescent="0.3">
      <c r="A43" t="s">
        <v>574</v>
      </c>
    </row>
    <row r="44" spans="1:1" x14ac:dyDescent="0.3">
      <c r="A44" t="s">
        <v>575</v>
      </c>
    </row>
    <row r="45" spans="1:1" x14ac:dyDescent="0.3">
      <c r="A45" t="s">
        <v>576</v>
      </c>
    </row>
    <row r="46" spans="1:1" x14ac:dyDescent="0.3">
      <c r="A46" t="s">
        <v>577</v>
      </c>
    </row>
    <row r="47" spans="1:1" x14ac:dyDescent="0.3">
      <c r="A47" t="s">
        <v>578</v>
      </c>
    </row>
    <row r="48" spans="1:1" x14ac:dyDescent="0.3">
      <c r="A48" t="s">
        <v>579</v>
      </c>
    </row>
    <row r="49" spans="1:1" x14ac:dyDescent="0.3">
      <c r="A49" t="s">
        <v>580</v>
      </c>
    </row>
    <row r="50" spans="1:1" x14ac:dyDescent="0.3">
      <c r="A50" t="s">
        <v>581</v>
      </c>
    </row>
    <row r="51" spans="1:1" x14ac:dyDescent="0.3">
      <c r="A51" t="s">
        <v>582</v>
      </c>
    </row>
    <row r="52" spans="1:1" x14ac:dyDescent="0.3">
      <c r="A52" t="s">
        <v>583</v>
      </c>
    </row>
    <row r="53" spans="1:1" x14ac:dyDescent="0.3">
      <c r="A53" t="s">
        <v>584</v>
      </c>
    </row>
    <row r="54" spans="1:1" x14ac:dyDescent="0.3">
      <c r="A54" t="s">
        <v>585</v>
      </c>
    </row>
    <row r="55" spans="1:1" x14ac:dyDescent="0.3">
      <c r="A55" t="s">
        <v>586</v>
      </c>
    </row>
    <row r="56" spans="1:1" x14ac:dyDescent="0.3">
      <c r="A56" t="s">
        <v>587</v>
      </c>
    </row>
    <row r="57" spans="1:1" x14ac:dyDescent="0.3">
      <c r="A57" t="s">
        <v>588</v>
      </c>
    </row>
    <row r="58" spans="1:1" x14ac:dyDescent="0.3">
      <c r="A58" t="s">
        <v>589</v>
      </c>
    </row>
    <row r="59" spans="1:1" x14ac:dyDescent="0.3">
      <c r="A59" t="s">
        <v>590</v>
      </c>
    </row>
    <row r="60" spans="1:1" x14ac:dyDescent="0.3">
      <c r="A60" t="s">
        <v>591</v>
      </c>
    </row>
    <row r="61" spans="1:1" x14ac:dyDescent="0.3">
      <c r="A61" t="s">
        <v>592</v>
      </c>
    </row>
    <row r="62" spans="1:1" x14ac:dyDescent="0.3">
      <c r="A62" t="s">
        <v>593</v>
      </c>
    </row>
    <row r="63" spans="1:1" x14ac:dyDescent="0.3">
      <c r="A63" t="s">
        <v>594</v>
      </c>
    </row>
    <row r="64" spans="1:1" x14ac:dyDescent="0.3">
      <c r="A64" t="s">
        <v>595</v>
      </c>
    </row>
    <row r="65" spans="1:1" x14ac:dyDescent="0.3">
      <c r="A65" t="s">
        <v>596</v>
      </c>
    </row>
    <row r="66" spans="1:1" x14ac:dyDescent="0.3">
      <c r="A66" t="s">
        <v>597</v>
      </c>
    </row>
    <row r="67" spans="1:1" x14ac:dyDescent="0.3">
      <c r="A67" t="s">
        <v>598</v>
      </c>
    </row>
    <row r="68" spans="1:1" x14ac:dyDescent="0.3">
      <c r="A68" t="s">
        <v>599</v>
      </c>
    </row>
    <row r="69" spans="1:1" x14ac:dyDescent="0.3">
      <c r="A69" t="s">
        <v>600</v>
      </c>
    </row>
    <row r="70" spans="1:1" x14ac:dyDescent="0.3">
      <c r="A70" t="s">
        <v>601</v>
      </c>
    </row>
    <row r="71" spans="1:1" x14ac:dyDescent="0.3">
      <c r="A71" t="s">
        <v>602</v>
      </c>
    </row>
    <row r="72" spans="1:1" x14ac:dyDescent="0.3">
      <c r="A72" t="s">
        <v>603</v>
      </c>
    </row>
    <row r="73" spans="1:1" x14ac:dyDescent="0.3">
      <c r="A73" t="s">
        <v>604</v>
      </c>
    </row>
    <row r="74" spans="1:1" x14ac:dyDescent="0.3">
      <c r="A74" t="s">
        <v>605</v>
      </c>
    </row>
    <row r="75" spans="1:1" x14ac:dyDescent="0.3">
      <c r="A75" t="s">
        <v>606</v>
      </c>
    </row>
    <row r="76" spans="1:1" x14ac:dyDescent="0.3">
      <c r="A76" t="s">
        <v>607</v>
      </c>
    </row>
    <row r="77" spans="1:1" x14ac:dyDescent="0.3">
      <c r="A77" t="s">
        <v>608</v>
      </c>
    </row>
    <row r="78" spans="1:1" x14ac:dyDescent="0.3">
      <c r="A78" t="s">
        <v>609</v>
      </c>
    </row>
    <row r="79" spans="1:1" x14ac:dyDescent="0.3">
      <c r="A79" t="s">
        <v>610</v>
      </c>
    </row>
    <row r="80" spans="1:1" x14ac:dyDescent="0.3">
      <c r="A80" t="s">
        <v>611</v>
      </c>
    </row>
    <row r="81" spans="1:1" x14ac:dyDescent="0.3">
      <c r="A81" t="s">
        <v>612</v>
      </c>
    </row>
    <row r="82" spans="1:1" x14ac:dyDescent="0.3">
      <c r="A82" t="s">
        <v>613</v>
      </c>
    </row>
    <row r="83" spans="1:1" x14ac:dyDescent="0.3">
      <c r="A83" t="s">
        <v>614</v>
      </c>
    </row>
    <row r="84" spans="1:1" x14ac:dyDescent="0.3">
      <c r="A84" t="s">
        <v>615</v>
      </c>
    </row>
    <row r="85" spans="1:1" x14ac:dyDescent="0.3">
      <c r="A85" t="s">
        <v>616</v>
      </c>
    </row>
    <row r="86" spans="1:1" x14ac:dyDescent="0.3">
      <c r="A86" t="s">
        <v>617</v>
      </c>
    </row>
    <row r="87" spans="1:1" x14ac:dyDescent="0.3">
      <c r="A87" t="s">
        <v>618</v>
      </c>
    </row>
    <row r="88" spans="1:1" x14ac:dyDescent="0.3">
      <c r="A88" t="s">
        <v>619</v>
      </c>
    </row>
    <row r="89" spans="1:1" x14ac:dyDescent="0.3">
      <c r="A89" t="s">
        <v>620</v>
      </c>
    </row>
    <row r="90" spans="1:1" x14ac:dyDescent="0.3">
      <c r="A90" t="s">
        <v>621</v>
      </c>
    </row>
    <row r="91" spans="1:1" x14ac:dyDescent="0.3">
      <c r="A91" t="s">
        <v>622</v>
      </c>
    </row>
    <row r="92" spans="1:1" x14ac:dyDescent="0.3">
      <c r="A92" t="s">
        <v>623</v>
      </c>
    </row>
    <row r="93" spans="1:1" x14ac:dyDescent="0.3">
      <c r="A93" t="s">
        <v>624</v>
      </c>
    </row>
    <row r="94" spans="1:1" x14ac:dyDescent="0.3">
      <c r="A94" t="s">
        <v>625</v>
      </c>
    </row>
    <row r="95" spans="1:1" x14ac:dyDescent="0.3">
      <c r="A95" t="s">
        <v>626</v>
      </c>
    </row>
    <row r="96" spans="1:1" x14ac:dyDescent="0.3">
      <c r="A96" t="s">
        <v>627</v>
      </c>
    </row>
    <row r="97" spans="1:1" x14ac:dyDescent="0.3">
      <c r="A97" t="s">
        <v>628</v>
      </c>
    </row>
    <row r="98" spans="1:1" x14ac:dyDescent="0.3">
      <c r="A98" t="s">
        <v>629</v>
      </c>
    </row>
    <row r="99" spans="1:1" x14ac:dyDescent="0.3">
      <c r="A99" t="s">
        <v>630</v>
      </c>
    </row>
    <row r="100" spans="1:1" x14ac:dyDescent="0.3">
      <c r="A100" t="s">
        <v>631</v>
      </c>
    </row>
    <row r="101" spans="1:1" x14ac:dyDescent="0.3">
      <c r="A101" t="s">
        <v>632</v>
      </c>
    </row>
    <row r="102" spans="1:1" x14ac:dyDescent="0.3">
      <c r="A102" t="s">
        <v>633</v>
      </c>
    </row>
    <row r="103" spans="1:1" x14ac:dyDescent="0.3">
      <c r="A103" t="s">
        <v>634</v>
      </c>
    </row>
    <row r="104" spans="1:1" x14ac:dyDescent="0.3">
      <c r="A104"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ParameterTable</vt:lpstr>
      <vt:lpstr>Variables_Codes</vt:lpstr>
      <vt:lpstr>Hoja1</vt:lpstr>
      <vt:lpstr>Hoja4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hmparraq</cp:lastModifiedBy>
  <dcterms:created xsi:type="dcterms:W3CDTF">2015-10-05T07:48:39Z</dcterms:created>
  <dcterms:modified xsi:type="dcterms:W3CDTF">2021-01-24T01:37:29Z</dcterms:modified>
</cp:coreProperties>
</file>