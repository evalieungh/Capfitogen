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J:\CAPFITOGEN\CAPFITOGEN3\V3_Script_02_06_2020\CAPFITOGEN3\ModelOptions\"/>
    </mc:Choice>
  </mc:AlternateContent>
  <xr:revisionPtr revIDLastSave="0" documentId="13_ncr:1_{F557EAF7-6743-42C8-9C5E-D885ED1481D7}" xr6:coauthVersionLast="45" xr6:coauthVersionMax="45" xr10:uidLastSave="{00000000-0000-0000-0000-000000000000}"/>
  <bookViews>
    <workbookView xWindow="1152" yWindow="600" windowWidth="19812" windowHeight="12360" xr2:uid="{00000000-000D-0000-FFFF-FFFF00000000}"/>
  </bookViews>
  <sheets>
    <sheet name="ParameterTable" sheetId="1" r:id="rId1"/>
    <sheet name="Variables_Codes" sheetId="3" r:id="rId2"/>
    <sheet name="Hoja1" sheetId="2" r:id="rId3"/>
    <sheet name="Hoja4" sheetId="5" state="hidden" r:id="rId4"/>
  </sheets>
  <definedNames>
    <definedName name="_xlnm._FilterDatabase" localSheetId="0" hidden="1">ParameterTable!$A$1:$D$49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 i="1" l="1"/>
  <c r="C7" i="1" l="1"/>
  <c r="C51" i="1"/>
  <c r="C50" i="1"/>
  <c r="C49" i="1"/>
  <c r="C48" i="1"/>
  <c r="C33" i="1" l="1"/>
  <c r="C43" i="1" l="1"/>
  <c r="C44" i="1"/>
  <c r="C45" i="1"/>
  <c r="C35" i="1"/>
  <c r="C3" i="1" l="1"/>
  <c r="C47" i="1"/>
  <c r="C46" i="1"/>
  <c r="C42" i="1"/>
  <c r="C41" i="1"/>
  <c r="C40" i="1"/>
  <c r="C39" i="1"/>
  <c r="C38" i="1"/>
  <c r="C37" i="1"/>
  <c r="C36" i="1"/>
  <c r="C34" i="1" l="1"/>
  <c r="C32" i="1"/>
  <c r="C31" i="1"/>
  <c r="C29" i="1"/>
  <c r="C30" i="1"/>
  <c r="C28" i="1"/>
  <c r="C27" i="1"/>
  <c r="C26" i="1"/>
  <c r="C25" i="1"/>
  <c r="C24" i="1"/>
  <c r="C23" i="1"/>
  <c r="C22" i="1"/>
  <c r="C21" i="1"/>
  <c r="C20" i="1"/>
  <c r="C19" i="1"/>
  <c r="C18" i="1"/>
  <c r="C17" i="1"/>
  <c r="C16" i="1"/>
  <c r="C15" i="1"/>
  <c r="C14" i="1"/>
  <c r="C13" i="1"/>
  <c r="C12" i="1"/>
  <c r="C11" i="1"/>
  <c r="C10" i="1"/>
  <c r="C9" i="1"/>
  <c r="C8" i="1"/>
  <c r="C5" i="1"/>
  <c r="C4" i="1"/>
  <c r="C2" i="1"/>
  <c r="B2" i="5" l="1"/>
</calcChain>
</file>

<file path=xl/sharedStrings.xml><?xml version="1.0" encoding="utf-8"?>
<sst xmlns="http://schemas.openxmlformats.org/spreadsheetml/2006/main" count="2003" uniqueCount="1176">
  <si>
    <t>ruta</t>
  </si>
  <si>
    <t>TRUE</t>
  </si>
  <si>
    <t>geoqual</t>
  </si>
  <si>
    <t>pais</t>
  </si>
  <si>
    <t>pasaporte</t>
  </si>
  <si>
    <t>totalqual</t>
  </si>
  <si>
    <t>resol1</t>
  </si>
  <si>
    <t>latitud</t>
  </si>
  <si>
    <t>longitud</t>
  </si>
  <si>
    <t>genero</t>
  </si>
  <si>
    <t>especie</t>
  </si>
  <si>
    <t>ausencia</t>
  </si>
  <si>
    <t>pasaporteb</t>
  </si>
  <si>
    <t>pareps</t>
  </si>
  <si>
    <t>pansel</t>
  </si>
  <si>
    <t>pastrat</t>
  </si>
  <si>
    <t>padiskmin</t>
  </si>
  <si>
    <t>padiskmax</t>
  </si>
  <si>
    <t>pasreq</t>
  </si>
  <si>
    <t>paelc</t>
  </si>
  <si>
    <t>mapaelc</t>
  </si>
  <si>
    <t>statelc</t>
  </si>
  <si>
    <t>modelby</t>
  </si>
  <si>
    <t>dismodel</t>
  </si>
  <si>
    <t>FALSE</t>
  </si>
  <si>
    <t>GLM</t>
  </si>
  <si>
    <t>GBM</t>
  </si>
  <si>
    <t>GAM</t>
  </si>
  <si>
    <t>CTA</t>
  </si>
  <si>
    <t>ANN</t>
  </si>
  <si>
    <t>FDA</t>
  </si>
  <si>
    <t>MARS</t>
  </si>
  <si>
    <t>RF</t>
  </si>
  <si>
    <t>MAXENT</t>
  </si>
  <si>
    <t>NA</t>
  </si>
  <si>
    <t>tipensam</t>
  </si>
  <si>
    <t>resultados</t>
  </si>
  <si>
    <t>Seleccione un país/región / Select one country/region</t>
  </si>
  <si>
    <t>número entre 0 y 100 | number from 0 to 100</t>
  </si>
  <si>
    <t>TRUE = Si|yes, FALSE = No</t>
  </si>
  <si>
    <t>Seleccione una opción | Select one option</t>
  </si>
  <si>
    <t>campo numérico | numeric field</t>
  </si>
  <si>
    <t>preval</t>
  </si>
  <si>
    <t>mod2bens</t>
  </si>
  <si>
    <t>probalfa</t>
  </si>
  <si>
    <t>probmwd</t>
  </si>
  <si>
    <t>Si/no</t>
  </si>
  <si>
    <t>Temp</t>
  </si>
  <si>
    <t>Resol1</t>
  </si>
  <si>
    <t>DESCRIPCION_ESPAÑOL</t>
  </si>
  <si>
    <t>DESCRIPTION_ENGLISH</t>
  </si>
  <si>
    <t>UNIDAD/UNIT</t>
  </si>
  <si>
    <t>FUENTE/SOURCE</t>
  </si>
  <si>
    <t>SOURCE_LINK</t>
  </si>
  <si>
    <t>REMARKS</t>
  </si>
  <si>
    <t>Temp prom anual</t>
  </si>
  <si>
    <t>bio_1</t>
  </si>
  <si>
    <t>Temperatura media anual</t>
  </si>
  <si>
    <t>Annual Mean Temperature</t>
  </si>
  <si>
    <t>°C</t>
  </si>
  <si>
    <t>Worldclim</t>
  </si>
  <si>
    <t>http://worldclim.org</t>
  </si>
  <si>
    <t>Temp prom cuarto mas calido</t>
  </si>
  <si>
    <t>bio_10</t>
  </si>
  <si>
    <t>Temperatura media del cuarto mas calido (los tres meses mas calidos)</t>
  </si>
  <si>
    <t>Mean Temperature of Warmest Quarter</t>
  </si>
  <si>
    <t>Temp prom cuarto mas frio</t>
  </si>
  <si>
    <t>bio_11</t>
  </si>
  <si>
    <t>Temperatura media del cuarto mas frio (los tres meses mas frios)</t>
  </si>
  <si>
    <t>Mean Temperature of Coldest Quarter</t>
  </si>
  <si>
    <t>Prec anual</t>
  </si>
  <si>
    <t>bio_12</t>
  </si>
  <si>
    <t>Precipitacion anual</t>
  </si>
  <si>
    <t>Annual Precipitation</t>
  </si>
  <si>
    <t>mm</t>
  </si>
  <si>
    <t>Prec mes mas humedo</t>
  </si>
  <si>
    <t>bio_13</t>
  </si>
  <si>
    <t>Precipitacion del mes mas humedo</t>
  </si>
  <si>
    <t>Precipitation of Wettest Month</t>
  </si>
  <si>
    <t>Prec mes mas seco</t>
  </si>
  <si>
    <t>bio_14</t>
  </si>
  <si>
    <t>Precipitacion del mes mas seco</t>
  </si>
  <si>
    <t>Precipitation of Driest Month</t>
  </si>
  <si>
    <t>Estacionalidad prec</t>
  </si>
  <si>
    <t>bio_15</t>
  </si>
  <si>
    <t>Estacionalidad en la precipitacion (coeficiente de variacion)</t>
  </si>
  <si>
    <t>Precipitation Seasonality (Coefficient of Variation)</t>
  </si>
  <si>
    <t>Prec cuarto  mas humedo</t>
  </si>
  <si>
    <t>bio_16</t>
  </si>
  <si>
    <t>Precipitacion del cuarto mas humedo (los tres meses mas lluviosos)</t>
  </si>
  <si>
    <t>Precipitation of Wettest Quarter</t>
  </si>
  <si>
    <t>Prec cuarto mas seco</t>
  </si>
  <si>
    <t>bio_17</t>
  </si>
  <si>
    <t>Precipitacion del cuarto mas seco (los tres meses mas secos)</t>
  </si>
  <si>
    <t>Precipitation of Driest Quarter</t>
  </si>
  <si>
    <t>Prec cuarto mas calido</t>
  </si>
  <si>
    <t>bio_18</t>
  </si>
  <si>
    <t>Precipitacion del cuarto mas calido (los tres meses mas calidos)</t>
  </si>
  <si>
    <t>Precipitation of Warmest Quarter</t>
  </si>
  <si>
    <t>Prec cuarto mas frio</t>
  </si>
  <si>
    <t>bio_19</t>
  </si>
  <si>
    <t>Precipitacion del cuarto mas frio (los tres meses mas frio)</t>
  </si>
  <si>
    <t>Precipitation of Coldest Quarter</t>
  </si>
  <si>
    <t>Rango prom temp diurnas</t>
  </si>
  <si>
    <t>bio_2</t>
  </si>
  <si>
    <t>Rango medio de temperaturas diurnas (medias mensuales (maxima temperatura-minima temperatura))</t>
  </si>
  <si>
    <t>Mean Diurnal Range (Mean of monthly (max temp - min temp))</t>
  </si>
  <si>
    <t>Isotermalidad</t>
  </si>
  <si>
    <t>bio_3</t>
  </si>
  <si>
    <t>Isotermalidad (BIOCLIM2/BIOCLIM7)(x100)</t>
  </si>
  <si>
    <t>Isothermality (BIO2/BIO7) (* 100)</t>
  </si>
  <si>
    <t xml:space="preserve"> </t>
  </si>
  <si>
    <t>Estacionalidad temp</t>
  </si>
  <si>
    <t>bio_4</t>
  </si>
  <si>
    <t>Estacionalidad en la temperatura (desviacion estandarx100)</t>
  </si>
  <si>
    <t>Temperature Seasonality (standard deviation *100)</t>
  </si>
  <si>
    <t>Max temp mes mas calido</t>
  </si>
  <si>
    <t>bio_5</t>
  </si>
  <si>
    <t>Maxima temperatura del mes mas calido</t>
  </si>
  <si>
    <t>Max Temperature of Warmest Month</t>
  </si>
  <si>
    <t>Min temp mes mas frio</t>
  </si>
  <si>
    <t>bio_6</t>
  </si>
  <si>
    <t>Minima temperatura del mes mas frio</t>
  </si>
  <si>
    <t>Min Temperature of Coldest Month</t>
  </si>
  <si>
    <t>Rango temp anual</t>
  </si>
  <si>
    <t>bio_7</t>
  </si>
  <si>
    <t>Rango de temperatura anual (BIOCLIM5 - BIOCLIM6)</t>
  </si>
  <si>
    <t>Temperature Annual Range (BIO5-BIO6)</t>
  </si>
  <si>
    <t>Temp prom cuarto humedo</t>
  </si>
  <si>
    <t>bio_8</t>
  </si>
  <si>
    <t>Temperatura media del cuarto mas humedo (los tres meses mas lluviosos)</t>
  </si>
  <si>
    <t>Mean Temperature of Wettest Quarter</t>
  </si>
  <si>
    <t>Temp prom cuarto seco</t>
  </si>
  <si>
    <t>bio_9</t>
  </si>
  <si>
    <t>Temperatura media del cuarto mas seco (los tres meses mas secos)</t>
  </si>
  <si>
    <t>Mean Temperature of Driest Quarter</t>
  </si>
  <si>
    <t>Prec prom 1</t>
  </si>
  <si>
    <t>prec_1</t>
  </si>
  <si>
    <t>Precipitacion total de enero</t>
  </si>
  <si>
    <t>Total january precipitation</t>
  </si>
  <si>
    <t>Prec prom 2</t>
  </si>
  <si>
    <t>prec_2</t>
  </si>
  <si>
    <t>Precipitacion total de febrero</t>
  </si>
  <si>
    <t>Total february precipitation</t>
  </si>
  <si>
    <t>Prec prom 3</t>
  </si>
  <si>
    <t>prec_3</t>
  </si>
  <si>
    <t>Precipitacion total de marzo</t>
  </si>
  <si>
    <t>Total march precipitation</t>
  </si>
  <si>
    <t>Prec prom 4</t>
  </si>
  <si>
    <t>prec_4</t>
  </si>
  <si>
    <t>Precipitacion total de abril</t>
  </si>
  <si>
    <t>Total april precipitation</t>
  </si>
  <si>
    <t>Prec prom 5</t>
  </si>
  <si>
    <t>prec_5</t>
  </si>
  <si>
    <t>Precipitacion total de mayo</t>
  </si>
  <si>
    <t>Total may precipitation</t>
  </si>
  <si>
    <t>Prec prom 6</t>
  </si>
  <si>
    <t>prec_6</t>
  </si>
  <si>
    <t>Precipitacion total de junio</t>
  </si>
  <si>
    <t>Total june precipitation</t>
  </si>
  <si>
    <t>Prec prom 7</t>
  </si>
  <si>
    <t>prec_7</t>
  </si>
  <si>
    <t>Precipitacion total de julio</t>
  </si>
  <si>
    <t>Total july precipitation</t>
  </si>
  <si>
    <t>Prec prom 8</t>
  </si>
  <si>
    <t>prec_8</t>
  </si>
  <si>
    <t>Precipitacion total de agosto</t>
  </si>
  <si>
    <t>Total august precipitation</t>
  </si>
  <si>
    <t>Prec prom 9</t>
  </si>
  <si>
    <t>prec_9</t>
  </si>
  <si>
    <t>Precipitacion total de septiembre</t>
  </si>
  <si>
    <t>Total september precipitation</t>
  </si>
  <si>
    <t>Prec prom 10</t>
  </si>
  <si>
    <t>prec_10</t>
  </si>
  <si>
    <t>Precipitacion total de octubre</t>
  </si>
  <si>
    <t>Total october precipitation</t>
  </si>
  <si>
    <t>Prec prom 11</t>
  </si>
  <si>
    <t>prec_11</t>
  </si>
  <si>
    <t>Precipitacion total de noviembre</t>
  </si>
  <si>
    <t>Total november precipitation</t>
  </si>
  <si>
    <t>Prec prom 12</t>
  </si>
  <si>
    <t>prec_12</t>
  </si>
  <si>
    <t>Precipitacion total de diciembre</t>
  </si>
  <si>
    <t>Total december precipitation</t>
  </si>
  <si>
    <t>Temp max 1</t>
  </si>
  <si>
    <t>tmax_1</t>
  </si>
  <si>
    <t>Temperatura maxima de enero</t>
  </si>
  <si>
    <t>Average january maximum temperature</t>
  </si>
  <si>
    <t>Temp max 2</t>
  </si>
  <si>
    <t>tmax_2</t>
  </si>
  <si>
    <t>Temperatura maxima de febrero</t>
  </si>
  <si>
    <t>Average february maximum temperature</t>
  </si>
  <si>
    <t>Temp max 3</t>
  </si>
  <si>
    <t>tmax_3</t>
  </si>
  <si>
    <t>Temperatura maxima de marzo</t>
  </si>
  <si>
    <t>Average march maximum temperature</t>
  </si>
  <si>
    <t>Temp max 4</t>
  </si>
  <si>
    <t>tmax_4</t>
  </si>
  <si>
    <t>Temperatura maxima de abril</t>
  </si>
  <si>
    <t>Average april maximum temperature</t>
  </si>
  <si>
    <t>Temp max 5</t>
  </si>
  <si>
    <t>tmax_5</t>
  </si>
  <si>
    <t>Temperatura maxima de mayo</t>
  </si>
  <si>
    <t>Average may maximum temperature</t>
  </si>
  <si>
    <t>Temp max 6</t>
  </si>
  <si>
    <t>tmax_6</t>
  </si>
  <si>
    <t>Temperatura maxima de junio</t>
  </si>
  <si>
    <t>Average june maximum temperature</t>
  </si>
  <si>
    <t>Temp max 7</t>
  </si>
  <si>
    <t>tmax_7</t>
  </si>
  <si>
    <t>Temperatura maxima de julio</t>
  </si>
  <si>
    <t>Average july maximum temperature</t>
  </si>
  <si>
    <t>Temp max 8</t>
  </si>
  <si>
    <t>tmax_8</t>
  </si>
  <si>
    <t>Temperatura maxima de agosto</t>
  </si>
  <si>
    <t>Average august maximum temperature</t>
  </si>
  <si>
    <t>Temp max 9</t>
  </si>
  <si>
    <t>tmax_9</t>
  </si>
  <si>
    <t>Temperatura maxima de septiembre</t>
  </si>
  <si>
    <t>Average september maximum temperature</t>
  </si>
  <si>
    <t>Temp max 10</t>
  </si>
  <si>
    <t>tmax_10</t>
  </si>
  <si>
    <t>Temperatura maxima de octubre</t>
  </si>
  <si>
    <t>Average october maximum temperature</t>
  </si>
  <si>
    <t>Temp max 11</t>
  </si>
  <si>
    <t>tmax_11</t>
  </si>
  <si>
    <t>Temperatura maxima de noviembre</t>
  </si>
  <si>
    <t>Average november maximum temperature</t>
  </si>
  <si>
    <t>Temp max 12</t>
  </si>
  <si>
    <t>tmax_12</t>
  </si>
  <si>
    <t>Temperatura maxima de diciembre</t>
  </si>
  <si>
    <t>Average december maximum temperature</t>
  </si>
  <si>
    <t>Temp prom 1</t>
  </si>
  <si>
    <t>tmean_1</t>
  </si>
  <si>
    <t>Temperatura media de enero</t>
  </si>
  <si>
    <t>Average january mean temperature</t>
  </si>
  <si>
    <t>Not available for projected future variables</t>
  </si>
  <si>
    <t>Temp prom 2</t>
  </si>
  <si>
    <t>tmean_2</t>
  </si>
  <si>
    <t>Temperatura media de febrero</t>
  </si>
  <si>
    <t>Average february mean temperature</t>
  </si>
  <si>
    <t>Temp prom 3</t>
  </si>
  <si>
    <t>tmean_3</t>
  </si>
  <si>
    <t>Temperatura media de marzo</t>
  </si>
  <si>
    <t>Average march mean temperature</t>
  </si>
  <si>
    <t>Temp prom 4</t>
  </si>
  <si>
    <t>tmean_4</t>
  </si>
  <si>
    <t>Temperatura media de abril</t>
  </si>
  <si>
    <t>Average april mean temperature</t>
  </si>
  <si>
    <t>Temp prom 5</t>
  </si>
  <si>
    <t>tmean_5</t>
  </si>
  <si>
    <t>Temperatura media de mayo</t>
  </si>
  <si>
    <t>Average may mean temperature</t>
  </si>
  <si>
    <t>Temp prom 6</t>
  </si>
  <si>
    <t>tmean_6</t>
  </si>
  <si>
    <t>Temperatura media de junio</t>
  </si>
  <si>
    <t>Average june mean temperature</t>
  </si>
  <si>
    <t>Temp prom 7</t>
  </si>
  <si>
    <t>tmean_7</t>
  </si>
  <si>
    <t>Temperatura media de julio</t>
  </si>
  <si>
    <t>Average july mean temperature</t>
  </si>
  <si>
    <t>Temp prom 8</t>
  </si>
  <si>
    <t>tmean_8</t>
  </si>
  <si>
    <t>Temperatura media de agosto</t>
  </si>
  <si>
    <t>Average august mean temperature</t>
  </si>
  <si>
    <t>Temp prom 9</t>
  </si>
  <si>
    <t>tmean_9</t>
  </si>
  <si>
    <t>Temperatura media de septiembre</t>
  </si>
  <si>
    <t>Average september mean temperature</t>
  </si>
  <si>
    <t>Temp prom 10</t>
  </si>
  <si>
    <t>tmean_10</t>
  </si>
  <si>
    <t>Temperatura media de octubre</t>
  </si>
  <si>
    <t>Average october mean temperature</t>
  </si>
  <si>
    <t>Temp prom 11</t>
  </si>
  <si>
    <t>tmean_11</t>
  </si>
  <si>
    <t>Temperatura media de noviembre</t>
  </si>
  <si>
    <t>Average november mean temperature</t>
  </si>
  <si>
    <t>Temp prom 12</t>
  </si>
  <si>
    <t>tmean_12</t>
  </si>
  <si>
    <t>Temperatura media de diciembre</t>
  </si>
  <si>
    <t>Average december mean temperature</t>
  </si>
  <si>
    <t>Temp min 1</t>
  </si>
  <si>
    <t>tmin_1</t>
  </si>
  <si>
    <t>Temperatura minima de enero</t>
  </si>
  <si>
    <t>Average january minimum temperature</t>
  </si>
  <si>
    <t>Temp min 2</t>
  </si>
  <si>
    <t>tmin_2</t>
  </si>
  <si>
    <t>Temperatura minima de febrero</t>
  </si>
  <si>
    <t>Average february minimum temperature</t>
  </si>
  <si>
    <t>Temp min 3</t>
  </si>
  <si>
    <t>tmin_3</t>
  </si>
  <si>
    <t>Temperatura minima de marzo</t>
  </si>
  <si>
    <t>Average march minimum temperature</t>
  </si>
  <si>
    <t>Temp min 4</t>
  </si>
  <si>
    <t>tmin_4</t>
  </si>
  <si>
    <t>Temperatura minima de abril</t>
  </si>
  <si>
    <t>Average april minimum temperature</t>
  </si>
  <si>
    <t>Temp min 5</t>
  </si>
  <si>
    <t>tmin_5</t>
  </si>
  <si>
    <t>Temperatura minima de mayo</t>
  </si>
  <si>
    <t>Average may minimum temperature</t>
  </si>
  <si>
    <t>Temp min 6</t>
  </si>
  <si>
    <t>tmin_6</t>
  </si>
  <si>
    <t>Temperatura minima de junio</t>
  </si>
  <si>
    <t>Average june minimum temperature</t>
  </si>
  <si>
    <t>Temp min 7</t>
  </si>
  <si>
    <t>tmin_7</t>
  </si>
  <si>
    <t>Temperatura minima de julio</t>
  </si>
  <si>
    <t>Average july minimum temperature</t>
  </si>
  <si>
    <t>Temp min 8</t>
  </si>
  <si>
    <t>tmin_8</t>
  </si>
  <si>
    <t>Temperatura minima de agosto</t>
  </si>
  <si>
    <t>Average august minimum temperature</t>
  </si>
  <si>
    <t>Temp min 9</t>
  </si>
  <si>
    <t>tmin_9</t>
  </si>
  <si>
    <t>Temperatura minima de septiembre</t>
  </si>
  <si>
    <t>Average september minimum temperature</t>
  </si>
  <si>
    <t>Temp min 10</t>
  </si>
  <si>
    <t>tmin_10</t>
  </si>
  <si>
    <t>Temperatura minima de octubre</t>
  </si>
  <si>
    <t>Average october minimum temperature</t>
  </si>
  <si>
    <t>Temp min 11</t>
  </si>
  <si>
    <t>tmin_11</t>
  </si>
  <si>
    <t>Temperatura minima de noviembre</t>
  </si>
  <si>
    <t>Average november minimum temperature</t>
  </si>
  <si>
    <t>Temp min 12</t>
  </si>
  <si>
    <t>tmin_12</t>
  </si>
  <si>
    <t>Temperatura minima de diciembre</t>
  </si>
  <si>
    <t>Average december minimum temperature</t>
  </si>
  <si>
    <t>Profundidad</t>
  </si>
  <si>
    <t>ref_depth</t>
  </si>
  <si>
    <t>Profundidad referencia de la unidad de suelo. La profundidad referencia de todas las unidades estan ajustadas a 100 cm (con algunas excepciones)</t>
  </si>
  <si>
    <t>Reference depth of the soil unit. Reference soil depth of all soil units are set at 100 cm (there are exceptions)</t>
  </si>
  <si>
    <t>Code</t>
  </si>
  <si>
    <t>HWS Database</t>
  </si>
  <si>
    <t>http://www.iiasa.ac.at/Research/LUC/External-World-soil-database/</t>
  </si>
  <si>
    <t>Edaphic variables cannot be projected for future conditions</t>
  </si>
  <si>
    <t>Sat bases subsuelo</t>
  </si>
  <si>
    <t>s_bs</t>
  </si>
  <si>
    <t>Saturacion de bases en subsuelo.</t>
  </si>
  <si>
    <t>Subsoil Base Saturation. This field gives the base saturation in subsoil.</t>
  </si>
  <si>
    <t>%</t>
  </si>
  <si>
    <t>CaCO3 subsuelo</t>
  </si>
  <si>
    <t>s_caco3</t>
  </si>
  <si>
    <t>Carbonato de calcio en subsuelo. Este campo ofrece el contenido de cal en subsuelo.</t>
  </si>
  <si>
    <t>Subsoil Calcium Carbonate. This field gives the calcium carbonate (lime) content in subsoil.</t>
  </si>
  <si>
    <t>% weight</t>
  </si>
  <si>
    <t>Yesos subsuelo</t>
  </si>
  <si>
    <t>s_caso4</t>
  </si>
  <si>
    <t>Yesos en subsuelo. Este campo ofrece el contenido de sulfato de calcio en subsuelo.</t>
  </si>
  <si>
    <t>Subsoil Gypsum. Calcium sulphate (gypsum) content in subsoil.</t>
  </si>
  <si>
    <t>CIC arcilla subsuelo</t>
  </si>
  <si>
    <t>s_cec_clay</t>
  </si>
  <si>
    <t>CEC de arcilla en subsuelo. CEC arcilla es la capacidad de intercambio cationico en la fraccion de arcilla</t>
  </si>
  <si>
    <t>Subsoil CEC (clay). This field gives the cation exchange capacity of the clay fraction.</t>
  </si>
  <si>
    <t>cmol/kg</t>
  </si>
  <si>
    <t>CIC subsuelo gral</t>
  </si>
  <si>
    <t>s_cec_soil</t>
  </si>
  <si>
    <t>CEC del suelo (general) en subsuelo. Este campo ofrece la capacidad de intercambio cationico en subsuelo.</t>
  </si>
  <si>
    <t>Subsoil CEC (soil). This field gives the cation exchange capacity.</t>
  </si>
  <si>
    <t>Arcilla en subsuelo</t>
  </si>
  <si>
    <t>s_clay</t>
  </si>
  <si>
    <t>Contenido de arcilla en subsuelo</t>
  </si>
  <si>
    <t>Subsoil Clay Fraction</t>
  </si>
  <si>
    <t>Salinidad subsuelo</t>
  </si>
  <si>
    <t>s_ece</t>
  </si>
  <si>
    <t>Salinidad en subsuelo. Este campo ofrece la conductividad electrica en subsuelo.</t>
  </si>
  <si>
    <t>Subsoil Salinity (Elco). This field gives the electrical conductivity of subsoil,</t>
  </si>
  <si>
    <t>dS/m</t>
  </si>
  <si>
    <t>Sodicidad subsuelo</t>
  </si>
  <si>
    <t>s_esp</t>
  </si>
  <si>
    <t>Sodicidad en subsuelo. Este campo ofrece el porcentaje de sodio intercambiable en subsuelo.</t>
  </si>
  <si>
    <t>Subsoil Sodicity (ESP). This field gives the exchangeable sodium percentage in the subsoil.</t>
  </si>
  <si>
    <t>Grava en subsuelo</t>
  </si>
  <si>
    <t>s_gravel</t>
  </si>
  <si>
    <t>Contenido de grava en subsuelo</t>
  </si>
  <si>
    <t>Subsoil Gravel Content</t>
  </si>
  <si>
    <t>%vol.</t>
  </si>
  <si>
    <t>Carbon org subsuelo</t>
  </si>
  <si>
    <t>s_oc</t>
  </si>
  <si>
    <t>Contenido de carbon organico en subsuelo</t>
  </si>
  <si>
    <t>Subsoil Organic Carbon</t>
  </si>
  <si>
    <t>pH subsuelo</t>
  </si>
  <si>
    <t>s_ph_h2o</t>
  </si>
  <si>
    <t>pH en subsuelo. pH, medido en solucion suelo-agua, es una medida de acidez o alcalinidad del suelo.</t>
  </si>
  <si>
    <t>Subsoil pH (H2O). pH, measured in a soil-water solution, is a measure for the acidity and alkalinity of the soil.</t>
  </si>
  <si>
    <t>-log(H+)</t>
  </si>
  <si>
    <t>Densidad subsuelo</t>
  </si>
  <si>
    <t>s_ref_bulk</t>
  </si>
  <si>
    <t>Densidad aparente de referencia en subsuelo. Es la masa de muchas particulas del material dividido por el volumen que ocupan.</t>
  </si>
  <si>
    <t>Subsoil Reference Bulk Density. It is the mass of many particles of the material divided by the volume they occupy.</t>
  </si>
  <si>
    <t>kg/dm3</t>
  </si>
  <si>
    <t>Arena en subsuelo</t>
  </si>
  <si>
    <t>s_sand</t>
  </si>
  <si>
    <t>Contenido de arena en subsuelo</t>
  </si>
  <si>
    <t>Subsoil Sand Fraction</t>
  </si>
  <si>
    <t>Limo en subsuelo</t>
  </si>
  <si>
    <t>s_silt</t>
  </si>
  <si>
    <t>Contenido de limo en subsuelo</t>
  </si>
  <si>
    <t>Subsoil Silt Fraction</t>
  </si>
  <si>
    <t>Bases int subsuelo</t>
  </si>
  <si>
    <t>s_teb</t>
  </si>
  <si>
    <t>Bases intercambiables totales en subsuelo</t>
  </si>
  <si>
    <t>Subsoil TEB. This field gives the total exchangeable bases in subsoil.</t>
  </si>
  <si>
    <t>Sat bases suelo</t>
  </si>
  <si>
    <t>t_bs</t>
  </si>
  <si>
    <t>Saturacion de bases en suelo superficial.</t>
  </si>
  <si>
    <t>Topsoil Base Saturation. This field gives the base saturation in topsoil.</t>
  </si>
  <si>
    <t>CaCO3 suelo</t>
  </si>
  <si>
    <t>t_caco3</t>
  </si>
  <si>
    <t>Carbonato de calcio en suelo superficial. Este campo ofrece el contenido de cal en suelo superficial.</t>
  </si>
  <si>
    <t>Topsoil Calcium Carbonate. This field gives the calcium carbonate (lime) content in topsoil.</t>
  </si>
  <si>
    <t>Yesos suelo</t>
  </si>
  <si>
    <t>t_caso4</t>
  </si>
  <si>
    <t>Yesos en suelo superficial. Este campo ofrece el contenido de sulfato de calcio en suelo superficial.</t>
  </si>
  <si>
    <t>Topsoil Gypsum. Calcium sulphate (gypsum) content in topsoil.</t>
  </si>
  <si>
    <t>CIC arcilla suelo</t>
  </si>
  <si>
    <t>t_cec_clay</t>
  </si>
  <si>
    <t>CEC de arcilla en suelo superficial. CEC arcilla es la capacidad de intercambio cationico en la fraccion de arcilla</t>
  </si>
  <si>
    <t>Topsoil CEC (clay). This field gives the cation exchange capacity of the clay fraction.</t>
  </si>
  <si>
    <t>CIC suelo gral</t>
  </si>
  <si>
    <t>t_cec_soil</t>
  </si>
  <si>
    <t>CEC del suelo (general) en suelo superficial. Este campo ofrece la capacidad de intercambio cationico en suelo superficial.</t>
  </si>
  <si>
    <t>Topsoil CEC (soil). This field gives the cation exchange capacity.</t>
  </si>
  <si>
    <t>Arcilla en suelo</t>
  </si>
  <si>
    <t>t_clay</t>
  </si>
  <si>
    <t>Contenido de arcilla en suelo superficial</t>
  </si>
  <si>
    <t>Topsoil Clay Fraction</t>
  </si>
  <si>
    <t>Salinidad suelo</t>
  </si>
  <si>
    <t>t_ece</t>
  </si>
  <si>
    <t>Salinidad en suelo superficial. Este campo ofrece la conductividad electrica en suelo superficial.</t>
  </si>
  <si>
    <t>Topsoil Salinity (Elco). This field gives the electrical conductivity of topsoil,</t>
  </si>
  <si>
    <t>Sodicidad suelo</t>
  </si>
  <si>
    <t>t_esp</t>
  </si>
  <si>
    <t>Sodicidad en suelo superficial. Este campo ofrece el porcentaje de sodio intercambiable en suelo superficial.</t>
  </si>
  <si>
    <t>Topsoil Sodicity (ESP). This field gives the exchangeable sodium percentage in the topsoil.</t>
  </si>
  <si>
    <t>Grava en suelo</t>
  </si>
  <si>
    <t>t_gravel</t>
  </si>
  <si>
    <t>Contenido de grava en suelo superficial</t>
  </si>
  <si>
    <t>Topsoil Gravel Content</t>
  </si>
  <si>
    <t>Carbon org suelo</t>
  </si>
  <si>
    <t>t_oc</t>
  </si>
  <si>
    <t>Contenido de carbon organico en suelo superficial</t>
  </si>
  <si>
    <t>Topsoil Organic Carbon</t>
  </si>
  <si>
    <t>pH suelo</t>
  </si>
  <si>
    <t>t_ph_h2o</t>
  </si>
  <si>
    <t>pH en suelo superficial. pH, medido en solucion suelo-agua, es una medida de acidez o alcalinidad del suelo.</t>
  </si>
  <si>
    <t>Topsoil pH (H2O). pH, measured in a soil-water solution, is a measure for the acidity and alkalinity of the soil.</t>
  </si>
  <si>
    <t>Densidad suelo</t>
  </si>
  <si>
    <t>t_ref_bulk</t>
  </si>
  <si>
    <t>Densidad aparente de referencia en suelo superficial. Es la masa de muchas particulas del material dividido por el volumen que ocupan.</t>
  </si>
  <si>
    <t>Topsoil Reference Bulk Density. It is the mass of many particles of the material divided by the volume they occupy.</t>
  </si>
  <si>
    <t>Arena en suelo</t>
  </si>
  <si>
    <t>t_sand</t>
  </si>
  <si>
    <t>Contenido de arena en suelo superficial</t>
  </si>
  <si>
    <t>Topsoil Sand Fraction</t>
  </si>
  <si>
    <t>Limo en suelo</t>
  </si>
  <si>
    <t>t_silt</t>
  </si>
  <si>
    <t>Contenido de limo en suelo superficial</t>
  </si>
  <si>
    <t>Topsoil Silt Fraction</t>
  </si>
  <si>
    <t>Bases int suelo</t>
  </si>
  <si>
    <t>t_teb</t>
  </si>
  <si>
    <t>Bases intercambiables totales en suelo superficial</t>
  </si>
  <si>
    <t>Topsoil TEB. This field gives the total exchangeable bases in topsoil.</t>
  </si>
  <si>
    <t>Elevacion</t>
  </si>
  <si>
    <t>alt</t>
  </si>
  <si>
    <t>Elevacion. Metros sobre el nivel del mar</t>
  </si>
  <si>
    <t>Elevation. Meters over the sea level.</t>
  </si>
  <si>
    <t>m</t>
  </si>
  <si>
    <t>SRTM</t>
  </si>
  <si>
    <t>http://srtm.csi.cgiar.org/</t>
  </si>
  <si>
    <t>Geophysic variables cannot be projected for future conditions</t>
  </si>
  <si>
    <t>Orientacion</t>
  </si>
  <si>
    <t>aspect</t>
  </si>
  <si>
    <t>Orientacion (en grados) de la superficie del terreno. 0 y 359 corresponden al norte.</t>
  </si>
  <si>
    <t>Aspect (in degrees) of the land surface. 0 and 359 correspond to north.</t>
  </si>
  <si>
    <t>º</t>
  </si>
  <si>
    <t>Derivada de SRTM DEM</t>
  </si>
  <si>
    <t>Esticidad</t>
  </si>
  <si>
    <t>eastness</t>
  </si>
  <si>
    <t>Esticidad. Toma valores cercanos a 1 si la orientacion tiende al este, -1 si tiende al oeste y 0 si la orientacion tiende a norte o sur.</t>
  </si>
  <si>
    <t>Northness will take values close to 1 if the aspect is generally northward, close to -1 if the aspect is southward, and close to 0 if the aspect is either east or west.</t>
  </si>
  <si>
    <t>Norticidad</t>
  </si>
  <si>
    <t>northness</t>
  </si>
  <si>
    <t>Norticidad. Toma valores cercanos a 1 si la orientacion tiende al norte, -1 si tiende al sur y 0 si la orientacion tiende a este u oeste.</t>
  </si>
  <si>
    <t>Eastness will take values close to 1 if the aspect is generally eastward, close to -1 if the aspect is westward, and close to 0 if the aspect is either north or south.</t>
  </si>
  <si>
    <t>Pendiente grados</t>
  </si>
  <si>
    <t>slope</t>
  </si>
  <si>
    <t>Pendiente (en grados) de la superficie del terreno</t>
  </si>
  <si>
    <t>Slope (in degrees) of the land surface</t>
  </si>
  <si>
    <t>MODELA_CODE</t>
  </si>
  <si>
    <t>INTERNAL_CODE</t>
  </si>
  <si>
    <t>"Temp prom cuarto mas calido"</t>
  </si>
  <si>
    <t>"Temp prom cuarto mas frio"</t>
  </si>
  <si>
    <t>"Prec anual"</t>
  </si>
  <si>
    <t>"Prec mes mas humedo"</t>
  </si>
  <si>
    <t>"Prec mes mas seco"</t>
  </si>
  <si>
    <t>"Estacionalidad prec"</t>
  </si>
  <si>
    <t>"Prec cuarto  mas humedo"</t>
  </si>
  <si>
    <t>"Prec cuarto mas seco"</t>
  </si>
  <si>
    <t>"Prec cuarto mas calido"</t>
  </si>
  <si>
    <t>"Prec cuarto mas frio"</t>
  </si>
  <si>
    <t>"Rango prom temp diurnas"</t>
  </si>
  <si>
    <t>"Isotermalidad"</t>
  </si>
  <si>
    <t>"Estacionalidad temp"</t>
  </si>
  <si>
    <t>"Max temp mes mas calido"</t>
  </si>
  <si>
    <t>"Min temp mes mas frio"</t>
  </si>
  <si>
    <t>"Rango temp anual"</t>
  </si>
  <si>
    <t>"Temp prom cuarto humedo"</t>
  </si>
  <si>
    <t>"Temp prom cuarto seco"</t>
  </si>
  <si>
    <t>"Prec prom 1"</t>
  </si>
  <si>
    <t>"Prec prom 2"</t>
  </si>
  <si>
    <t>"Prec prom 3"</t>
  </si>
  <si>
    <t>"Prec prom 4"</t>
  </si>
  <si>
    <t>"Prec prom 5"</t>
  </si>
  <si>
    <t>"Prec prom 6"</t>
  </si>
  <si>
    <t>"Prec prom 7"</t>
  </si>
  <si>
    <t>"Prec prom 8"</t>
  </si>
  <si>
    <t>"Prec prom 9"</t>
  </si>
  <si>
    <t>"Prec prom 10"</t>
  </si>
  <si>
    <t>"Prec prom 11"</t>
  </si>
  <si>
    <t>"Prec prom 12"</t>
  </si>
  <si>
    <t>"Temp max 1"</t>
  </si>
  <si>
    <t>"Temp max 2"</t>
  </si>
  <si>
    <t>"Temp max 3"</t>
  </si>
  <si>
    <t>"Temp max 4"</t>
  </si>
  <si>
    <t>"Temp max 5"</t>
  </si>
  <si>
    <t>"Temp max 6"</t>
  </si>
  <si>
    <t>"Temp max 7"</t>
  </si>
  <si>
    <t>"Temp max 8"</t>
  </si>
  <si>
    <t>"Temp max 9"</t>
  </si>
  <si>
    <t>"Temp max 10"</t>
  </si>
  <si>
    <t>"Temp max 11"</t>
  </si>
  <si>
    <t>"Temp max 12"</t>
  </si>
  <si>
    <t>"Temp prom 1"</t>
  </si>
  <si>
    <t>"Temp prom 2"</t>
  </si>
  <si>
    <t>"Temp prom 3"</t>
  </si>
  <si>
    <t>"Temp prom 4"</t>
  </si>
  <si>
    <t>"Temp prom 5"</t>
  </si>
  <si>
    <t>"Temp prom 6"</t>
  </si>
  <si>
    <t>"Temp prom 7"</t>
  </si>
  <si>
    <t>"Temp prom 8"</t>
  </si>
  <si>
    <t>"Temp prom 9"</t>
  </si>
  <si>
    <t>"Temp prom 10"</t>
  </si>
  <si>
    <t>"Temp prom 11"</t>
  </si>
  <si>
    <t>"Temp prom 12"</t>
  </si>
  <si>
    <t>"Temp min 1"</t>
  </si>
  <si>
    <t>"Temp min 2"</t>
  </si>
  <si>
    <t>"Temp min 3"</t>
  </si>
  <si>
    <t>"Temp min 4"</t>
  </si>
  <si>
    <t>"Temp min 5"</t>
  </si>
  <si>
    <t>"Temp min 6"</t>
  </si>
  <si>
    <t>"Temp min 7"</t>
  </si>
  <si>
    <t>"Temp min 8"</t>
  </si>
  <si>
    <t>"Temp min 9"</t>
  </si>
  <si>
    <t>"Temp min 10"</t>
  </si>
  <si>
    <t>"Temp min 11"</t>
  </si>
  <si>
    <t>"Temp min 12"</t>
  </si>
  <si>
    <t>"Profundidad"</t>
  </si>
  <si>
    <t>"Sat bases subsuelo"</t>
  </si>
  <si>
    <t>"CaCO3 subsuelo"</t>
  </si>
  <si>
    <t>"Yesos subsuelo"</t>
  </si>
  <si>
    <t>"CIC arcilla subsuelo"</t>
  </si>
  <si>
    <t>"CIC subsuelo gral"</t>
  </si>
  <si>
    <t>"Arcilla en subsuelo"</t>
  </si>
  <si>
    <t>"Salinidad subsuelo"</t>
  </si>
  <si>
    <t>"Sodicidad subsuelo"</t>
  </si>
  <si>
    <t>"Grava en subsuelo"</t>
  </si>
  <si>
    <t>"Carbon org subsuelo"</t>
  </si>
  <si>
    <t>"pH subsuelo"</t>
  </si>
  <si>
    <t>"Densidad subsuelo"</t>
  </si>
  <si>
    <t>"Arena en subsuelo"</t>
  </si>
  <si>
    <t>"Limo en subsuelo"</t>
  </si>
  <si>
    <t>"Bases int subsuelo"</t>
  </si>
  <si>
    <t>"Sat bases suelo"</t>
  </si>
  <si>
    <t>"CaCO3 suelo"</t>
  </si>
  <si>
    <t>"Yesos suelo"</t>
  </si>
  <si>
    <t>"CIC arcilla suelo"</t>
  </si>
  <si>
    <t>"CIC suelo gral"</t>
  </si>
  <si>
    <t>"Arcilla en suelo"</t>
  </si>
  <si>
    <t>"Salinidad suelo"</t>
  </si>
  <si>
    <t>"Sodicidad suelo"</t>
  </si>
  <si>
    <t>"Grava en suelo"</t>
  </si>
  <si>
    <t>"Carbon org suelo"</t>
  </si>
  <si>
    <t>"pH suelo"</t>
  </si>
  <si>
    <t>"Densidad suelo"</t>
  </si>
  <si>
    <t>"Arena en suelo"</t>
  </si>
  <si>
    <t>"Limo en suelo"</t>
  </si>
  <si>
    <t>"Bases int suelo"</t>
  </si>
  <si>
    <t>"Elevacion"</t>
  </si>
  <si>
    <t>"Orientacion"</t>
  </si>
  <si>
    <t>"Esticidad"</t>
  </si>
  <si>
    <t>"Norticidad"</t>
  </si>
  <si>
    <t>"Pendiente grados"</t>
  </si>
  <si>
    <t>c("Temp prom anual","Temp prom cuarto mas calido","Temp prom cuarto mas frio","Prec anual","Prec mes mas humedo","Prec mes mas seco","Estacionalidad prec","Prec cuarto  mas humedo","Prec cuarto mas seco","Prec cuarto mas calido","Prec cuarto mas frio","Rango prom temp diurnas","Isotermalidad","Estacionalidad temp","Max temp mes mas calido","Min temp mes mas frio","Rango temp anual","Temp prom cuarto humedo","Temp prom cuarto seco","Prec prom 1","Prec prom 2","Prec prom 3","Prec prom 4","Prec prom 5","Prec prom 6","Prec prom 7","Prec prom 8","Prec prom 9","Prec prom 10","Prec prom 11","Prec prom 12","Temp max 1","Temp max 2","Temp max 3","Temp max 4","Temp max 5","Temp max 6","Temp max 7","Temp max 8","Temp max 9","Temp max 10","Temp max 11","Temp max 12","Temp prom 1","Temp prom 2","Temp prom 3","Temp prom 4","Temp prom 5","Temp prom 6","Temp prom 7","Temp prom 8","Temp prom 9","Temp prom 10","Temp prom 11","Temp prom 12","Temp min 1","Temp min 2","Temp min 3","Temp min 4","Temp min 5","Temp min 6","Temp min 7","Temp min 8","Temp min 9","Temp min 10","Temp min 11","Temp min 12","Profundidad","Sat bases subsuelo","CaCO3 subsuelo","Yesos subsuelo","CIC arcilla subsuelo","CIC subsuelo gral","Arcilla en subsuelo","Salinidad subsuelo","Sodicidad subsuelo","Grava en subsuelo","Carbon org subsuelo","pH subsuelo","Densidad subsuelo","Arena en subsuelo","Limo en subsuelo","Bases int subsuelo","Sat bases suelo","CaCO3 suelo","Yesos suelo","CIC arcilla suelo","CIC suelo gral","Arcilla en suelo","Salinidad suelo","Sodicidad suelo","Grava en suelo","Carbon org suelo","pH suelo","Densidad suelo","Arena en suelo","Limo en suelo","Bases int suelo","Elevacion","Orientacion","Esticidad","Norticidad","Pendiente grados")</t>
  </si>
  <si>
    <t>Ausencia</t>
  </si>
  <si>
    <t>proytest</t>
  </si>
  <si>
    <t>Temp prom anual'</t>
  </si>
  <si>
    <t>Argentina</t>
  </si>
  <si>
    <t>present</t>
  </si>
  <si>
    <t>Celdas 1x1 km aprox (30 arc-seg)</t>
  </si>
  <si>
    <t>pseudo absence</t>
  </si>
  <si>
    <t>sre</t>
  </si>
  <si>
    <t>dismo</t>
  </si>
  <si>
    <t>bioclim</t>
  </si>
  <si>
    <t>KAPPA</t>
  </si>
  <si>
    <t>best</t>
  </si>
  <si>
    <t>PA_dataset+repet</t>
  </si>
  <si>
    <t>proportional</t>
  </si>
  <si>
    <t>Bolivia</t>
  </si>
  <si>
    <t>future</t>
  </si>
  <si>
    <t>Celdas 5x5 km aprox (2.5 arc-min)</t>
  </si>
  <si>
    <t>absence</t>
  </si>
  <si>
    <t>disk</t>
  </si>
  <si>
    <t>biomod</t>
  </si>
  <si>
    <t>domain</t>
  </si>
  <si>
    <t>TSS</t>
  </si>
  <si>
    <t>all</t>
  </si>
  <si>
    <t>PA_dataset+algo</t>
  </si>
  <si>
    <t>Brasil</t>
  </si>
  <si>
    <t>celdas 10x10 km aprox (5 arc-min)</t>
  </si>
  <si>
    <t>elc</t>
  </si>
  <si>
    <t>maxent</t>
  </si>
  <si>
    <t>ROC</t>
  </si>
  <si>
    <t>PA_dataset</t>
  </si>
  <si>
    <t>Chile</t>
  </si>
  <si>
    <t>celdas 20x20 km aprox (10 arc-min)</t>
  </si>
  <si>
    <t>random</t>
  </si>
  <si>
    <t>FAR</t>
  </si>
  <si>
    <t>algo</t>
  </si>
  <si>
    <t>Colombia</t>
  </si>
  <si>
    <t>SR</t>
  </si>
  <si>
    <t>Canada</t>
  </si>
  <si>
    <t>ACCURACY</t>
  </si>
  <si>
    <t>China</t>
  </si>
  <si>
    <t>BIAS</t>
  </si>
  <si>
    <t>Meso America</t>
  </si>
  <si>
    <t>POD</t>
  </si>
  <si>
    <t>Russia</t>
  </si>
  <si>
    <t>CSI</t>
  </si>
  <si>
    <t>South America</t>
  </si>
  <si>
    <t>ETS</t>
  </si>
  <si>
    <t>United States</t>
  </si>
  <si>
    <t>Australia</t>
  </si>
  <si>
    <t>Chile continental</t>
  </si>
  <si>
    <t>Costa Rica</t>
  </si>
  <si>
    <t>Cuba</t>
  </si>
  <si>
    <t>Ecuador</t>
  </si>
  <si>
    <t>Guatemala</t>
  </si>
  <si>
    <t>Honduras</t>
  </si>
  <si>
    <t>Mexico</t>
  </si>
  <si>
    <t>Nicaragua</t>
  </si>
  <si>
    <t>Panama</t>
  </si>
  <si>
    <t>Paraguay</t>
  </si>
  <si>
    <t>Peru</t>
  </si>
  <si>
    <t>Rep_Dominicana</t>
  </si>
  <si>
    <t>El Salvador</t>
  </si>
  <si>
    <t>Uruguay</t>
  </si>
  <si>
    <t>Venezuela</t>
  </si>
  <si>
    <t>Albania</t>
  </si>
  <si>
    <t>Austria</t>
  </si>
  <si>
    <t>Belarus</t>
  </si>
  <si>
    <t>Belgium</t>
  </si>
  <si>
    <t>BosniaHerzegovina</t>
  </si>
  <si>
    <t>Bulgaria</t>
  </si>
  <si>
    <t>Croatia</t>
  </si>
  <si>
    <t>CzechRepublic</t>
  </si>
  <si>
    <t>Denmark</t>
  </si>
  <si>
    <t>Estonia</t>
  </si>
  <si>
    <t>Finland</t>
  </si>
  <si>
    <t>France</t>
  </si>
  <si>
    <t>Germany</t>
  </si>
  <si>
    <t>Greece</t>
  </si>
  <si>
    <t>Hungary</t>
  </si>
  <si>
    <t>Ireland</t>
  </si>
  <si>
    <t>Italy</t>
  </si>
  <si>
    <t>Latvia</t>
  </si>
  <si>
    <t>Lithuania</t>
  </si>
  <si>
    <t>Macedonia</t>
  </si>
  <si>
    <t>Moldova</t>
  </si>
  <si>
    <t>Montenegro</t>
  </si>
  <si>
    <t>Netherlands</t>
  </si>
  <si>
    <t>Norway</t>
  </si>
  <si>
    <t>Poland</t>
  </si>
  <si>
    <t>Portugal</t>
  </si>
  <si>
    <t>Romania</t>
  </si>
  <si>
    <t>Serbia</t>
  </si>
  <si>
    <t>Slovakia</t>
  </si>
  <si>
    <t>Slovenia</t>
  </si>
  <si>
    <t>Spain</t>
  </si>
  <si>
    <t>Sweden</t>
  </si>
  <si>
    <t>Switzerland</t>
  </si>
  <si>
    <t>Turkey</t>
  </si>
  <si>
    <t>UnitedKingdom</t>
  </si>
  <si>
    <t>Ukraine</t>
  </si>
  <si>
    <t>Europe</t>
  </si>
  <si>
    <t>Afghanistan</t>
  </si>
  <si>
    <t>Algeria</t>
  </si>
  <si>
    <t>Angola</t>
  </si>
  <si>
    <t>Armenia</t>
  </si>
  <si>
    <t>Azerbaijan</t>
  </si>
  <si>
    <t>Bahrain</t>
  </si>
  <si>
    <t>Bangladesh</t>
  </si>
  <si>
    <t>Benin</t>
  </si>
  <si>
    <t>Botswana</t>
  </si>
  <si>
    <t>Burkina Faso</t>
  </si>
  <si>
    <t>Burundi</t>
  </si>
  <si>
    <t>Cent African Republic</t>
  </si>
  <si>
    <t>Cambodia</t>
  </si>
  <si>
    <t>Cameroon</t>
  </si>
  <si>
    <t>Chad</t>
  </si>
  <si>
    <t>Christmas Island</t>
  </si>
  <si>
    <t>Cote dIvoire</t>
  </si>
  <si>
    <t>Cyprus</t>
  </si>
  <si>
    <t>Dem Rep of the Congo</t>
  </si>
  <si>
    <t>Djibouti</t>
  </si>
  <si>
    <t>East Timor</t>
  </si>
  <si>
    <t>Egypt</t>
  </si>
  <si>
    <t>Equatorial Guinea</t>
  </si>
  <si>
    <t>Eritrea</t>
  </si>
  <si>
    <t>Ethiopia</t>
  </si>
  <si>
    <t>French Guiana</t>
  </si>
  <si>
    <t>French South Territ</t>
  </si>
  <si>
    <t>Gabon</t>
  </si>
  <si>
    <t>Gambia</t>
  </si>
  <si>
    <t>Georgia</t>
  </si>
  <si>
    <t>Ghana</t>
  </si>
  <si>
    <t>Guinea</t>
  </si>
  <si>
    <t>Guinea-Bissau</t>
  </si>
  <si>
    <t>Guyana</t>
  </si>
  <si>
    <t>Iceland</t>
  </si>
  <si>
    <t>India</t>
  </si>
  <si>
    <t>Indonesia</t>
  </si>
  <si>
    <t>Iran</t>
  </si>
  <si>
    <t>Iraq</t>
  </si>
  <si>
    <t>Israel</t>
  </si>
  <si>
    <t>Japan</t>
  </si>
  <si>
    <t>Jordan</t>
  </si>
  <si>
    <t>Kazakhstan</t>
  </si>
  <si>
    <t>Kenya</t>
  </si>
  <si>
    <t>Kuwait</t>
  </si>
  <si>
    <t>Kyrgyzstan</t>
  </si>
  <si>
    <t>Laos</t>
  </si>
  <si>
    <t>Lebanon</t>
  </si>
  <si>
    <t>Lesotho</t>
  </si>
  <si>
    <t>Liberia</t>
  </si>
  <si>
    <t>Libya</t>
  </si>
  <si>
    <t>Madagascar</t>
  </si>
  <si>
    <t>Malawi</t>
  </si>
  <si>
    <t>Malaysia</t>
  </si>
  <si>
    <t>Mali</t>
  </si>
  <si>
    <t>Mauritania</t>
  </si>
  <si>
    <t>Mauritius</t>
  </si>
  <si>
    <t>Mayotte</t>
  </si>
  <si>
    <t>Mongolia</t>
  </si>
  <si>
    <t>Morocco</t>
  </si>
  <si>
    <t>Mozambique</t>
  </si>
  <si>
    <t>Myanmar</t>
  </si>
  <si>
    <t>Namibia</t>
  </si>
  <si>
    <t>Nepal</t>
  </si>
  <si>
    <t>New Zealand</t>
  </si>
  <si>
    <t>Niger</t>
  </si>
  <si>
    <t>Nigeria</t>
  </si>
  <si>
    <t>North Korea</t>
  </si>
  <si>
    <t>Oman</t>
  </si>
  <si>
    <t>Pakistan</t>
  </si>
  <si>
    <t>Palestina</t>
  </si>
  <si>
    <t>Papua New Guinea</t>
  </si>
  <si>
    <t>Philippines</t>
  </si>
  <si>
    <t>Qatar</t>
  </si>
  <si>
    <t>Republic of Congo</t>
  </si>
  <si>
    <t>Rwanda</t>
  </si>
  <si>
    <t>Sao Tome and Principe</t>
  </si>
  <si>
    <t>Saudi Arabia</t>
  </si>
  <si>
    <t>Senegal</t>
  </si>
  <si>
    <t>Sierra Leone</t>
  </si>
  <si>
    <t>Singapore</t>
  </si>
  <si>
    <t>Somalia</t>
  </si>
  <si>
    <t>South Africa</t>
  </si>
  <si>
    <t>South Korea</t>
  </si>
  <si>
    <t>South Sudan</t>
  </si>
  <si>
    <t>Sri Lanka</t>
  </si>
  <si>
    <t>Sudan</t>
  </si>
  <si>
    <t>Suriname</t>
  </si>
  <si>
    <t>Swaziland</t>
  </si>
  <si>
    <t>Syria</t>
  </si>
  <si>
    <t>Taiwan</t>
  </si>
  <si>
    <t>Tajikistan</t>
  </si>
  <si>
    <t>Tanzania</t>
  </si>
  <si>
    <t>Thailand</t>
  </si>
  <si>
    <t>Togo</t>
  </si>
  <si>
    <t>Tunisia</t>
  </si>
  <si>
    <t>Turkmenistan</t>
  </si>
  <si>
    <t>United Arab Emirates</t>
  </si>
  <si>
    <t>Uganda</t>
  </si>
  <si>
    <t>Uzbekistan</t>
  </si>
  <si>
    <t>Vietnam</t>
  </si>
  <si>
    <t>Western Sahara</t>
  </si>
  <si>
    <t>Yemen</t>
  </si>
  <si>
    <t>Zambia</t>
  </si>
  <si>
    <t>Zimbabwe</t>
  </si>
  <si>
    <t>World</t>
  </si>
  <si>
    <t>user1</t>
  </si>
  <si>
    <t>user2</t>
  </si>
  <si>
    <t>user3</t>
  </si>
  <si>
    <t>para indicar la ruta  use sólo este slash/ | to indicate the path use only this slash /</t>
  </si>
  <si>
    <t>nombre incluye la extensión .txt, el archivo debe estar en carpeta 'Pasaporte' | name has to include .txt extension, file has to be located in 'Pasaporte' folder</t>
  </si>
  <si>
    <t>nombre incluye extensión .grd, archivo debe estar en carpeta 'ELCmapas' | name includes .grd extension, file has to be located in 'ELCmapas' folder</t>
  </si>
  <si>
    <t>nombre incluye extensión .txt, archivo debe estar en carpeta 'ELCmapas' | name includes .txt extension, file has to be located in 'ELCmapas' folder</t>
  </si>
  <si>
    <t>variabv[1]</t>
  </si>
  <si>
    <t>variabv[2]</t>
  </si>
  <si>
    <t>variabv[3]</t>
  </si>
  <si>
    <t>variabv[4]</t>
  </si>
  <si>
    <t>variabv[5]</t>
  </si>
  <si>
    <t>variabv[6]</t>
  </si>
  <si>
    <t>variabv[7]</t>
  </si>
  <si>
    <t>variabv[8]</t>
  </si>
  <si>
    <t>variabv[9]</t>
  </si>
  <si>
    <t>variabv[10]</t>
  </si>
  <si>
    <t>Variables</t>
  </si>
  <si>
    <t>Seleccione una variable ecogeográfica a ser utilizada para modelizar | Select one variable to be used for modeling</t>
  </si>
  <si>
    <t>Modelos</t>
  </si>
  <si>
    <t>SRE</t>
  </si>
  <si>
    <t>paelc[1]</t>
  </si>
  <si>
    <t>paelc[2]</t>
  </si>
  <si>
    <t>paelc[3]</t>
  </si>
  <si>
    <t>paelc[4]</t>
  </si>
  <si>
    <t>Seleccione un cuartil | Select one quartile</t>
  </si>
  <si>
    <t>Seleccione un cuartil no seleccionado en otros campos paelc| Select one quartile non-selected in other paelc fields</t>
  </si>
  <si>
    <t>nula/null</t>
  </si>
  <si>
    <t>baja/low</t>
  </si>
  <si>
    <t>media baja/mid-low</t>
  </si>
  <si>
    <t>media alta/mid-high</t>
  </si>
  <si>
    <t>alta/high</t>
  </si>
  <si>
    <t>distdup</t>
  </si>
  <si>
    <t>número (por defecto 0) | number (0 by default)</t>
  </si>
  <si>
    <t>gcm</t>
  </si>
  <si>
    <t>rcp</t>
  </si>
  <si>
    <t>proy</t>
  </si>
  <si>
    <t>variabv[11]</t>
  </si>
  <si>
    <t>variabv[12]</t>
  </si>
  <si>
    <t>variabv[13]</t>
  </si>
  <si>
    <t>variabv[14]</t>
  </si>
  <si>
    <t>variabv[15]</t>
  </si>
  <si>
    <t>variabv[16]</t>
  </si>
  <si>
    <t>variabv[17]</t>
  </si>
  <si>
    <t>variabv[18]</t>
  </si>
  <si>
    <t>variabv[19]</t>
  </si>
  <si>
    <t>variabv[20]</t>
  </si>
  <si>
    <t>Seleccione una variable ecogeográfica (no seleccionada en otros variabv) a ser utilizada para modelizar (puede dejar esta celda en blanco si no desea seleccionar más variables) | Select one variable (not selected in other variabv) to be used for modeling (you can leave this cell in blank if you do not wish to select more variables)</t>
  </si>
  <si>
    <t>campo numérico entre 0 y 0.5 | numeric field from 0 to 0.5</t>
  </si>
  <si>
    <t>Vel viento 1</t>
  </si>
  <si>
    <t>Vel viento 2</t>
  </si>
  <si>
    <t>Vel viento 3</t>
  </si>
  <si>
    <t>Vel viento 4</t>
  </si>
  <si>
    <t>Vel viento 5</t>
  </si>
  <si>
    <t>Vel viento 6</t>
  </si>
  <si>
    <t>Vel viento 7</t>
  </si>
  <si>
    <t>Vel viento 8</t>
  </si>
  <si>
    <t>Vel viento 9</t>
  </si>
  <si>
    <t>Vel viento 10</t>
  </si>
  <si>
    <t>Vel viento 11</t>
  </si>
  <si>
    <t>Vel viento 12</t>
  </si>
  <si>
    <t>Rad solar 2</t>
  </si>
  <si>
    <t>Rad solar 3</t>
  </si>
  <si>
    <t>Rad solar 4</t>
  </si>
  <si>
    <t>Rad solar 5</t>
  </si>
  <si>
    <t>Rad solar 6</t>
  </si>
  <si>
    <t>Rad solar 7</t>
  </si>
  <si>
    <t>Rad solar 8</t>
  </si>
  <si>
    <t>Rad solar 9</t>
  </si>
  <si>
    <t>Rad solar 10</t>
  </si>
  <si>
    <t>Rad solar 11</t>
  </si>
  <si>
    <t>Rad solar 12</t>
  </si>
  <si>
    <t>convexhull</t>
  </si>
  <si>
    <t>wind_1</t>
  </si>
  <si>
    <t>wind_2</t>
  </si>
  <si>
    <t>wind_3</t>
  </si>
  <si>
    <t>wind_4</t>
  </si>
  <si>
    <t>wind_5</t>
  </si>
  <si>
    <t>wind_6</t>
  </si>
  <si>
    <t>wind_7</t>
  </si>
  <si>
    <t>wind_8</t>
  </si>
  <si>
    <t>wind_9</t>
  </si>
  <si>
    <t>wind_10</t>
  </si>
  <si>
    <t>wind_11</t>
  </si>
  <si>
    <t>wind_12</t>
  </si>
  <si>
    <t>Vap press 1</t>
  </si>
  <si>
    <t>Vap press 2</t>
  </si>
  <si>
    <t>Vap press 3</t>
  </si>
  <si>
    <t>Vap press 4</t>
  </si>
  <si>
    <t>Vap press 5</t>
  </si>
  <si>
    <t>Vap press 6</t>
  </si>
  <si>
    <t>Vap press 7</t>
  </si>
  <si>
    <t>Vap press 8</t>
  </si>
  <si>
    <t>Vap press 9</t>
  </si>
  <si>
    <t>Vap press 10</t>
  </si>
  <si>
    <t>Vap press 11</t>
  </si>
  <si>
    <t>Vap press 12</t>
  </si>
  <si>
    <t>t_avail water cont1</t>
  </si>
  <si>
    <t>s_avail water cont1</t>
  </si>
  <si>
    <t>t_avail water cont2</t>
  </si>
  <si>
    <t>s_avail water cont2</t>
  </si>
  <si>
    <t>t_avail water cont3</t>
  </si>
  <si>
    <t>s_avail water cont3</t>
  </si>
  <si>
    <t>t_sat water cont</t>
  </si>
  <si>
    <t>s_sat water cont</t>
  </si>
  <si>
    <t>depth to rock</t>
  </si>
  <si>
    <t>r horizon</t>
  </si>
  <si>
    <t>t_bulk density</t>
  </si>
  <si>
    <t>s_bulk density</t>
  </si>
  <si>
    <t>t_cat exchange cap</t>
  </si>
  <si>
    <t>s_cat exchange cap</t>
  </si>
  <si>
    <t>t_clay content</t>
  </si>
  <si>
    <t>s_clay content</t>
  </si>
  <si>
    <t>t_coarse fragment</t>
  </si>
  <si>
    <t>s_coarse fragment</t>
  </si>
  <si>
    <t>t_soil organ carb dens</t>
  </si>
  <si>
    <t>s_soil organ carb dens</t>
  </si>
  <si>
    <t>t_organ carb stock</t>
  </si>
  <si>
    <t>s_organ carb stock</t>
  </si>
  <si>
    <t>t_organ carb content</t>
  </si>
  <si>
    <t>s_organ carb content</t>
  </si>
  <si>
    <t>t_ph in h2o</t>
  </si>
  <si>
    <t>s_ph in h2o</t>
  </si>
  <si>
    <t>t_ph in kcl</t>
  </si>
  <si>
    <t>s_ph in kcl</t>
  </si>
  <si>
    <t>sodicity</t>
  </si>
  <si>
    <t>t_silt content</t>
  </si>
  <si>
    <t>s_silt content</t>
  </si>
  <si>
    <t>t_sand content</t>
  </si>
  <si>
    <t>s_sand content</t>
  </si>
  <si>
    <t>t_avail water cap</t>
  </si>
  <si>
    <t>s_avail water cap</t>
  </si>
  <si>
    <t>Presion de vapor 1</t>
  </si>
  <si>
    <t>vapr_1</t>
  </si>
  <si>
    <t>Presion de vapor de enero</t>
  </si>
  <si>
    <t>kPa</t>
  </si>
  <si>
    <t>Worldclim2</t>
  </si>
  <si>
    <t>Bioclimatica</t>
  </si>
  <si>
    <t>Presion de vapor 2</t>
  </si>
  <si>
    <t>vapr_2</t>
  </si>
  <si>
    <t>Presion de vapor de febrero</t>
  </si>
  <si>
    <t>Presion de vapor 3</t>
  </si>
  <si>
    <t>vapr_3</t>
  </si>
  <si>
    <t>Presion de vapor de marzo</t>
  </si>
  <si>
    <t>Presion de vapor 4</t>
  </si>
  <si>
    <t>vapr_4</t>
  </si>
  <si>
    <t>Presion de vapor de abril</t>
  </si>
  <si>
    <t>Presion de vapor 5</t>
  </si>
  <si>
    <t>vapr_5</t>
  </si>
  <si>
    <t>Presion de vapor de mayo</t>
  </si>
  <si>
    <t>Presion de vapor 6</t>
  </si>
  <si>
    <t>vapr_6</t>
  </si>
  <si>
    <t>Presion de vapor de junio</t>
  </si>
  <si>
    <t>Presion de vapor 7</t>
  </si>
  <si>
    <t>vapr_7</t>
  </si>
  <si>
    <t>Presion de vapor de julio</t>
  </si>
  <si>
    <t>Presion de vapor 8</t>
  </si>
  <si>
    <t>vapr_8</t>
  </si>
  <si>
    <t>Presion de vapor de agosto</t>
  </si>
  <si>
    <t>Presion de vapor 9</t>
  </si>
  <si>
    <t>vapr_9</t>
  </si>
  <si>
    <t>Presion de vapor de septiembre</t>
  </si>
  <si>
    <t>Presion de vapor 10</t>
  </si>
  <si>
    <t>vapr_10</t>
  </si>
  <si>
    <t>Presion de vapor de octubre</t>
  </si>
  <si>
    <t>Presion de vapor 11</t>
  </si>
  <si>
    <t>vapr_11</t>
  </si>
  <si>
    <t>Presion de vapor de noviembre</t>
  </si>
  <si>
    <t>Presion de vapor 12</t>
  </si>
  <si>
    <t>vapr_12</t>
  </si>
  <si>
    <t>Presion de vapor de diciembre</t>
  </si>
  <si>
    <t>Presion de vapor anual</t>
  </si>
  <si>
    <t>vapr_annual</t>
  </si>
  <si>
    <t>Presion de vapor promedio anual</t>
  </si>
  <si>
    <t>Velocidad viento 1</t>
  </si>
  <si>
    <t>Velocidad viento enero</t>
  </si>
  <si>
    <t>ms-1</t>
  </si>
  <si>
    <t>Geofisica</t>
  </si>
  <si>
    <t>Velocidad viento 2</t>
  </si>
  <si>
    <t>Velocidad viento febrero</t>
  </si>
  <si>
    <t>Velocidad viento 3</t>
  </si>
  <si>
    <t>Velocidad viento marzo</t>
  </si>
  <si>
    <t>Velocidad viento 4</t>
  </si>
  <si>
    <t>Velocidad viento abril</t>
  </si>
  <si>
    <t>Velocidad viento 5</t>
  </si>
  <si>
    <t>Velocidad viento mayo</t>
  </si>
  <si>
    <t>Velocidad viento 6</t>
  </si>
  <si>
    <t>Velocidad viento junio</t>
  </si>
  <si>
    <t>Velocidad viento 7</t>
  </si>
  <si>
    <t>Velocidad viento julio</t>
  </si>
  <si>
    <t>Velocidad viento 8</t>
  </si>
  <si>
    <t>Velocidad viento agosto</t>
  </si>
  <si>
    <t>Velocidad viento 9</t>
  </si>
  <si>
    <t>Velocidad viento septiembre</t>
  </si>
  <si>
    <t>Velocidad viento 10</t>
  </si>
  <si>
    <t>Velocidad viento octubre</t>
  </si>
  <si>
    <t>Velocidad viento 11</t>
  </si>
  <si>
    <t>Velocidad viento noviembre</t>
  </si>
  <si>
    <t>Velocidad viento 12</t>
  </si>
  <si>
    <t>Velocidad viento diciembre</t>
  </si>
  <si>
    <t>Velocidad viento anual</t>
  </si>
  <si>
    <t>wind_annual</t>
  </si>
  <si>
    <t>Vel viento anual</t>
  </si>
  <si>
    <t>Radiacion solar 1</t>
  </si>
  <si>
    <t>srad_1</t>
  </si>
  <si>
    <t>Radiacion solar enero</t>
  </si>
  <si>
    <t xml:space="preserve">Rad solar 1 </t>
  </si>
  <si>
    <t>MJ m-2</t>
  </si>
  <si>
    <t>Radiacion solar 2</t>
  </si>
  <si>
    <t>srad_2</t>
  </si>
  <si>
    <t>Radiacion solar febrero</t>
  </si>
  <si>
    <t>Radiacion solar 3</t>
  </si>
  <si>
    <t>srad_3</t>
  </si>
  <si>
    <t>Radiacion solar marzo</t>
  </si>
  <si>
    <t>Radiacion solar 4</t>
  </si>
  <si>
    <t>srad_4</t>
  </si>
  <si>
    <t>Radiacion solar abril</t>
  </si>
  <si>
    <t>Radiacion solar 5</t>
  </si>
  <si>
    <t>srad_5</t>
  </si>
  <si>
    <t>Radiacion solar mayo</t>
  </si>
  <si>
    <t>Radiacion solar 6</t>
  </si>
  <si>
    <t>srad_6</t>
  </si>
  <si>
    <t>Radiacion solar junio</t>
  </si>
  <si>
    <t>Radiacion solar 7</t>
  </si>
  <si>
    <t>srad_7</t>
  </si>
  <si>
    <t>Radiacion solar julio</t>
  </si>
  <si>
    <t>Radiacion solar 8</t>
  </si>
  <si>
    <t>srad_8</t>
  </si>
  <si>
    <t>Radiacion solar agosto</t>
  </si>
  <si>
    <t>Radiacion solar 9</t>
  </si>
  <si>
    <t>srad_9</t>
  </si>
  <si>
    <t>Radiacion solar septiembre</t>
  </si>
  <si>
    <t>Radiacion solar 10</t>
  </si>
  <si>
    <t>srad_10</t>
  </si>
  <si>
    <t>Radiacion solar octubre</t>
  </si>
  <si>
    <t>Radiacion solar 11</t>
  </si>
  <si>
    <t>srad_11</t>
  </si>
  <si>
    <t>Radiacion solar noviembre</t>
  </si>
  <si>
    <t>Radiacion solar 12</t>
  </si>
  <si>
    <t>srad_12</t>
  </si>
  <si>
    <t>Radiacion solar diciembre</t>
  </si>
  <si>
    <t>Radiacion solar anual</t>
  </si>
  <si>
    <t>srad_annual</t>
  </si>
  <si>
    <t>Rad solar anual</t>
  </si>
  <si>
    <t>Avail soil water cap h1 top</t>
  </si>
  <si>
    <t>t_awc1</t>
  </si>
  <si>
    <t>Available soil water capacity (volumetric fraction) for h1 - topsoil</t>
  </si>
  <si>
    <t>Soilgrids</t>
  </si>
  <si>
    <t>Edafica</t>
  </si>
  <si>
    <t>https://soilgrids.org</t>
  </si>
  <si>
    <t>Avail soil water cap h1 sub</t>
  </si>
  <si>
    <t>s_awc1</t>
  </si>
  <si>
    <t>Available soil water capacity (volumetric fraction) for h1 - subsoil</t>
  </si>
  <si>
    <t>Avail soil water cap h2 top</t>
  </si>
  <si>
    <t>t_awc2</t>
  </si>
  <si>
    <t>Available soil water capacity (volumetric fraction) for h2 - topsoil</t>
  </si>
  <si>
    <t>Avail soil water cap h2 sub</t>
  </si>
  <si>
    <t>s_awc2</t>
  </si>
  <si>
    <t>Available soil water capacity (volumetric fraction) for h2 - subsoil</t>
  </si>
  <si>
    <t>Avail soil water cap h3 top</t>
  </si>
  <si>
    <t>t_awc3</t>
  </si>
  <si>
    <t>Available soil water capacity (volumetric fraction) for h3 - topsoil</t>
  </si>
  <si>
    <t>Avail soil water cap h3 sub</t>
  </si>
  <si>
    <t>s_awc3</t>
  </si>
  <si>
    <t>Available soil water capacity (volumetric fraction) for h3 - subsoil</t>
  </si>
  <si>
    <t>Sat water cont top</t>
  </si>
  <si>
    <t>t_awcts</t>
  </si>
  <si>
    <t>Saturated water content (volumetric fraction) for tS - topsoil</t>
  </si>
  <si>
    <t>Sat water cont sub</t>
  </si>
  <si>
    <t>s_awcts</t>
  </si>
  <si>
    <t>Saturated water content (volumetric fraction) for tS - subsoil</t>
  </si>
  <si>
    <t>Depth to bedrock</t>
  </si>
  <si>
    <t>depth_rock</t>
  </si>
  <si>
    <t>Depth to bedrock (R horizon) up to 200 cm</t>
  </si>
  <si>
    <t xml:space="preserve">cm </t>
  </si>
  <si>
    <t>R horizon</t>
  </si>
  <si>
    <t>r_horizon</t>
  </si>
  <si>
    <t>Probability of occurrence of R horizon</t>
  </si>
  <si>
    <t>Bulk density top</t>
  </si>
  <si>
    <t>t_bulk_dens</t>
  </si>
  <si>
    <t>Bulk density (fine earth) in kg / cubic-meter - topsoil</t>
  </si>
  <si>
    <t>kg / cubic-m</t>
  </si>
  <si>
    <t>Bulk density sub</t>
  </si>
  <si>
    <t>s_bulk_dens</t>
  </si>
  <si>
    <t>Bulk density (fine earth) in kg / cubic-meter - subsoil</t>
  </si>
  <si>
    <t>Cation exchange cap top</t>
  </si>
  <si>
    <t>t_cecsol</t>
  </si>
  <si>
    <t>Cation exchange capacity of soil in cmolc/kg - topsoil</t>
  </si>
  <si>
    <t>cmol / kg</t>
  </si>
  <si>
    <t>Cation exchange cap sub</t>
  </si>
  <si>
    <t>s_cecsol</t>
  </si>
  <si>
    <t>Cation exchange capacity of soil in cmolc/kg - subsoil</t>
  </si>
  <si>
    <t>Clay content top</t>
  </si>
  <si>
    <t>t_clay_cont</t>
  </si>
  <si>
    <t>Clay content (0-2 micro meter) mass fraction in % - topsoil</t>
  </si>
  <si>
    <t>Clay content sub</t>
  </si>
  <si>
    <t>s_clay_cont</t>
  </si>
  <si>
    <t>Clay content (0-2 micro meter) mass fraction in % - subsoil</t>
  </si>
  <si>
    <t>Coarse fragments top</t>
  </si>
  <si>
    <t>t_coarse_frag</t>
  </si>
  <si>
    <t>Coarse fragments volumetric in % - topsoil</t>
  </si>
  <si>
    <t>Coarse fragments sub</t>
  </si>
  <si>
    <t>s_coarse_frag</t>
  </si>
  <si>
    <t>Coarse fragments volumetric in % - subsoil</t>
  </si>
  <si>
    <t>Organic carbon dens top</t>
  </si>
  <si>
    <t>t_oc_dens</t>
  </si>
  <si>
    <t>Soil organic carbon density in kg per cubic-m - topsoil</t>
  </si>
  <si>
    <t>Organic carbon dens sub</t>
  </si>
  <si>
    <t>s_oc_dens</t>
  </si>
  <si>
    <t>Soil organic carbon density in kg per cubic-m - subsoil</t>
  </si>
  <si>
    <t>Organic carbon stock top</t>
  </si>
  <si>
    <t>t_oc_stock</t>
  </si>
  <si>
    <t>Soil organic carbon stock in tons per ha - topsoil</t>
  </si>
  <si>
    <t>tonnes / ha</t>
  </si>
  <si>
    <t>Organic carbon stock sub</t>
  </si>
  <si>
    <t>s_oc_stock</t>
  </si>
  <si>
    <t>Soil organic carbon stock in tons per ha - subsoil</t>
  </si>
  <si>
    <t>Organic carbon content top</t>
  </si>
  <si>
    <t>t_oc_cont</t>
  </si>
  <si>
    <t>Soil organic carbon content (fine earth fraction) in g per kg</t>
  </si>
  <si>
    <t>g / kg</t>
  </si>
  <si>
    <t>Organic carbon content sub</t>
  </si>
  <si>
    <t>s_oc_cont</t>
  </si>
  <si>
    <t>Soil pH H2O top</t>
  </si>
  <si>
    <t>t_ph_hox</t>
  </si>
  <si>
    <t>Soil pH x 10 in H2O topsoil</t>
  </si>
  <si>
    <t>index*10</t>
  </si>
  <si>
    <t>Soil pH H2O sub</t>
  </si>
  <si>
    <t>s_ph_hox</t>
  </si>
  <si>
    <t>Soil pH x 10 in H2O subsoil</t>
  </si>
  <si>
    <t>Soil pH KCl top</t>
  </si>
  <si>
    <t>t_ph_kcl</t>
  </si>
  <si>
    <t>Soil pH x 10 in KCl topsoil</t>
  </si>
  <si>
    <t>Soil pH KCl sub</t>
  </si>
  <si>
    <t>s_ph_kcl</t>
  </si>
  <si>
    <t>Soil pH x 10 in KCl subsoil</t>
  </si>
  <si>
    <t>Sodic soil grade</t>
  </si>
  <si>
    <t>grade</t>
  </si>
  <si>
    <t>Silt content top</t>
  </si>
  <si>
    <t>t_silt_cont</t>
  </si>
  <si>
    <t>Silt content (2-50 micro meter) mass fraction in % - topsoil</t>
  </si>
  <si>
    <t>Silt content sub</t>
  </si>
  <si>
    <t>s_silt_cont</t>
  </si>
  <si>
    <t>Silt content (2-50 micro meter) mass fraction in % - subsoil</t>
  </si>
  <si>
    <t>Sand content top</t>
  </si>
  <si>
    <t>t_sand_cont</t>
  </si>
  <si>
    <t>Sand content (50-2000 micro meter) mass fraction in % - topsoil</t>
  </si>
  <si>
    <t>Sand content sub</t>
  </si>
  <si>
    <t>s_sand_cont</t>
  </si>
  <si>
    <t>Sand content (50-2000 micro meter) mass fraction in % - subsoil</t>
  </si>
  <si>
    <t>Avail soil water cap top</t>
  </si>
  <si>
    <t>t_soilwater_cap</t>
  </si>
  <si>
    <t>Available soil water capacity (volumetric fraction) until wilting point - topsoil</t>
  </si>
  <si>
    <t>Avail soil water cap sub</t>
  </si>
  <si>
    <t>s_soilwater_cap</t>
  </si>
  <si>
    <t>Available soil water capacity (volumetric fraction) until wilting point - subsoil</t>
  </si>
  <si>
    <t>Vap press anual</t>
  </si>
  <si>
    <t>BCC-CSM2-MR</t>
  </si>
  <si>
    <t>CNRM-CM6-1</t>
  </si>
  <si>
    <t>CNRM-ESM2-1</t>
  </si>
  <si>
    <t>CanESM5</t>
  </si>
  <si>
    <t>GFDL-ESM4</t>
  </si>
  <si>
    <t>IPSL-CM6A-LR</t>
  </si>
  <si>
    <t>MIROC-ES2L</t>
  </si>
  <si>
    <t>MIROC6</t>
  </si>
  <si>
    <t>Notes</t>
  </si>
  <si>
    <t>Parameter</t>
  </si>
  <si>
    <t>testNAs</t>
  </si>
  <si>
    <t>Is this parameter required?</t>
  </si>
  <si>
    <t>Value (indicate here your option)</t>
  </si>
  <si>
    <t>ntest</t>
  </si>
  <si>
    <t>campo de texto / text field</t>
  </si>
  <si>
    <t>cutoff</t>
  </si>
  <si>
    <t>dynamic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</si>
</sst>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59999389629810485"/>
        <bgColor indexed="64"/>
      </patternFill>
    </fill>
    <fill>
      <patternFill patternType="solid">
        <fgColor rgb="FF99FFCC"/>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rgb="FF00B050"/>
        <bgColor indexed="64"/>
      </patternFill>
    </fill>
    <fill>
      <patternFill patternType="solid">
        <fgColor rgb="FF3BFF9D"/>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cellStyleXfs>
  <cellXfs count="18">
    <xf numFmtId="0" fontId="0" fillId="0" borderId="0" xfId="0"/>
    <xf numFmtId="0" fontId="17" fillId="33" borderId="0" xfId="0" applyFont="1" applyFill="1"/>
    <xf numFmtId="0" fontId="18" fillId="0" borderId="0" xfId="42"/>
    <xf numFmtId="0" fontId="19" fillId="0" borderId="0" xfId="43"/>
    <xf numFmtId="0" fontId="0" fillId="0" borderId="0" xfId="0" quotePrefix="1"/>
    <xf numFmtId="0" fontId="0" fillId="0" borderId="0" xfId="0" applyAlignment="1"/>
    <xf numFmtId="0" fontId="0" fillId="34" borderId="0" xfId="0" applyFill="1"/>
    <xf numFmtId="0" fontId="0" fillId="35" borderId="0" xfId="0" quotePrefix="1" applyFill="1"/>
    <xf numFmtId="0" fontId="0" fillId="0" borderId="0" xfId="0" applyFill="1"/>
    <xf numFmtId="0" fontId="0" fillId="36" borderId="0" xfId="0" applyFill="1"/>
    <xf numFmtId="0" fontId="0" fillId="37" borderId="0" xfId="0" applyFill="1"/>
    <xf numFmtId="49" fontId="0" fillId="0" borderId="0" xfId="0" applyNumberFormat="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35" borderId="0" xfId="0"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2000000}"/>
    <cellStyle name="Normal 3" xfId="43" xr:uid="{00000000-0005-0000-0000-000023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BFF"/>
      <color rgb="FFD17B79"/>
      <color rgb="FF3BFF9D"/>
      <color rgb="FF99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sheetViews>
  <sheetFormatPr defaultColWidth="11.5546875" defaultRowHeight="14.4" x14ac:dyDescent="0.3"/>
  <cols>
    <col min="1" max="1" width="20.6640625" customWidth="1"/>
    <col min="2" max="2" width="31.88671875" customWidth="1"/>
    <col min="3" max="3" width="43.77734375" customWidth="1"/>
    <col min="4" max="4" width="100.6640625" customWidth="1"/>
  </cols>
  <sheetData>
    <row r="1" spans="1:4" x14ac:dyDescent="0.3">
      <c r="A1" s="1" t="s">
        <v>1168</v>
      </c>
      <c r="B1" s="1" t="s">
        <v>1171</v>
      </c>
      <c r="C1" s="1" t="s">
        <v>1170</v>
      </c>
      <c r="D1" s="1" t="s">
        <v>1167</v>
      </c>
    </row>
    <row r="2" spans="1:4" x14ac:dyDescent="0.3">
      <c r="A2" t="s">
        <v>0</v>
      </c>
      <c r="C2" t="str">
        <f>IF(B2="","ruta value is required","Ok")</f>
        <v>ruta value is required</v>
      </c>
      <c r="D2" t="s">
        <v>805</v>
      </c>
    </row>
    <row r="3" spans="1:4" x14ac:dyDescent="0.3">
      <c r="A3" t="s">
        <v>3</v>
      </c>
      <c r="C3" t="str">
        <f>IF(B3="","pais value is required","Ok")</f>
        <v>pais value is required</v>
      </c>
      <c r="D3" t="s">
        <v>37</v>
      </c>
    </row>
    <row r="4" spans="1:4" x14ac:dyDescent="0.3">
      <c r="A4" t="s">
        <v>4</v>
      </c>
      <c r="C4" t="str">
        <f>IF(B4="","pasaporte value is required","Ok")</f>
        <v>pasaporte value is required</v>
      </c>
      <c r="D4" t="s">
        <v>806</v>
      </c>
    </row>
    <row r="5" spans="1:4" x14ac:dyDescent="0.3">
      <c r="A5" s="12" t="s">
        <v>2</v>
      </c>
      <c r="C5" t="str">
        <f>IF(B5="","geoqual value is required","Ok")</f>
        <v>geoqual value is required</v>
      </c>
      <c r="D5" t="s">
        <v>39</v>
      </c>
    </row>
    <row r="6" spans="1:4" x14ac:dyDescent="0.3">
      <c r="A6" s="6" t="s">
        <v>5</v>
      </c>
      <c r="C6" t="str">
        <f>IF(OR(B5="TRUE",B5=""),"totalqual value must be provideded","totalqual value is not necessary")</f>
        <v>totalqual value must be provideded</v>
      </c>
      <c r="D6" t="s">
        <v>38</v>
      </c>
    </row>
    <row r="7" spans="1:4" x14ac:dyDescent="0.3">
      <c r="A7" s="8" t="s">
        <v>834</v>
      </c>
      <c r="C7" t="str">
        <f>IF(B7="","distdup value must be provided. Zero (0) is the default","Ok")</f>
        <v>distdup value must be provided. Zero (0) is the default</v>
      </c>
      <c r="D7" t="s">
        <v>835</v>
      </c>
    </row>
    <row r="8" spans="1:4" x14ac:dyDescent="0.3">
      <c r="A8" t="s">
        <v>6</v>
      </c>
      <c r="C8" t="str">
        <f>IF(B8="","resol1 value is required","Ok")</f>
        <v>resol1 value is required</v>
      </c>
      <c r="D8" t="s">
        <v>40</v>
      </c>
    </row>
    <row r="9" spans="1:4" x14ac:dyDescent="0.3">
      <c r="A9" t="s">
        <v>809</v>
      </c>
      <c r="B9" s="4"/>
      <c r="C9" s="4" t="str">
        <f>IF(B9="","Please select one variable for variabv[1]","Ok")</f>
        <v>Please select one variable for variabv[1]</v>
      </c>
      <c r="D9" t="s">
        <v>820</v>
      </c>
    </row>
    <row r="10" spans="1:4" x14ac:dyDescent="0.3">
      <c r="A10" t="s">
        <v>810</v>
      </c>
      <c r="B10" s="4"/>
      <c r="C10" s="4" t="str">
        <f>IF(B10="","Please select one variable for variabv[2]","Ok")</f>
        <v>Please select one variable for variabv[2]</v>
      </c>
      <c r="D10" t="s">
        <v>849</v>
      </c>
    </row>
    <row r="11" spans="1:4" x14ac:dyDescent="0.3">
      <c r="A11" t="s">
        <v>811</v>
      </c>
      <c r="B11" s="4"/>
      <c r="C11" s="4" t="str">
        <f>IF(B11="","Please select one variable for variabv[3]","Ok")</f>
        <v>Please select one variable for variabv[3]</v>
      </c>
      <c r="D11" t="s">
        <v>849</v>
      </c>
    </row>
    <row r="12" spans="1:4" x14ac:dyDescent="0.3">
      <c r="A12" t="s">
        <v>812</v>
      </c>
      <c r="B12" s="4"/>
      <c r="C12" s="4" t="str">
        <f>IF(B12="","Select additional variable for variabv[4] if necessary","Ok")</f>
        <v>Select additional variable for variabv[4] if necessary</v>
      </c>
      <c r="D12" t="s">
        <v>849</v>
      </c>
    </row>
    <row r="13" spans="1:4" x14ac:dyDescent="0.3">
      <c r="A13" t="s">
        <v>813</v>
      </c>
      <c r="B13" s="4"/>
      <c r="C13" s="4" t="str">
        <f>IF(B13="","Select additional variable for variabv[5] if necessary","Ok")</f>
        <v>Select additional variable for variabv[5] if necessary</v>
      </c>
      <c r="D13" t="s">
        <v>849</v>
      </c>
    </row>
    <row r="14" spans="1:4" x14ac:dyDescent="0.3">
      <c r="A14" t="s">
        <v>814</v>
      </c>
      <c r="B14" s="4"/>
      <c r="C14" s="4" t="str">
        <f>IF(B14="","Select additional variable for variabv[6] if necessary","Ok")</f>
        <v>Select additional variable for variabv[6] if necessary</v>
      </c>
      <c r="D14" t="s">
        <v>849</v>
      </c>
    </row>
    <row r="15" spans="1:4" x14ac:dyDescent="0.3">
      <c r="A15" t="s">
        <v>815</v>
      </c>
      <c r="B15" s="4"/>
      <c r="C15" s="4" t="str">
        <f>IF(B15="","Select additional variable for variabv[7] if necessary","Ok")</f>
        <v>Select additional variable for variabv[7] if necessary</v>
      </c>
      <c r="D15" t="s">
        <v>849</v>
      </c>
    </row>
    <row r="16" spans="1:4" x14ac:dyDescent="0.3">
      <c r="A16" t="s">
        <v>816</v>
      </c>
      <c r="B16" s="4"/>
      <c r="C16" s="4" t="str">
        <f>IF(B16="","Select additional variable for variabv[8] if necessary","Ok")</f>
        <v>Select additional variable for variabv[8] if necessary</v>
      </c>
      <c r="D16" t="s">
        <v>849</v>
      </c>
    </row>
    <row r="17" spans="1:4" x14ac:dyDescent="0.3">
      <c r="A17" t="s">
        <v>817</v>
      </c>
      <c r="B17" s="4"/>
      <c r="C17" s="4" t="str">
        <f>IF(B17="","Select additional variable for variabv[9] if necessary","Ok")</f>
        <v>Select additional variable for variabv[9] if necessary</v>
      </c>
      <c r="D17" t="s">
        <v>849</v>
      </c>
    </row>
    <row r="18" spans="1:4" x14ac:dyDescent="0.3">
      <c r="A18" t="s">
        <v>818</v>
      </c>
      <c r="B18" s="4"/>
      <c r="C18" s="4" t="str">
        <f>IF(B18="","Select additional variable for variabv[10] if necessary","Ok")</f>
        <v>Select additional variable for variabv[10] if necessary</v>
      </c>
      <c r="D18" t="s">
        <v>849</v>
      </c>
    </row>
    <row r="19" spans="1:4" x14ac:dyDescent="0.3">
      <c r="A19" t="s">
        <v>839</v>
      </c>
      <c r="B19" s="4"/>
      <c r="C19" s="4" t="str">
        <f>IF(B19="","Select additional variable for variabv[11] if necessary","Ok")</f>
        <v>Select additional variable for variabv[11] if necessary</v>
      </c>
      <c r="D19" t="s">
        <v>849</v>
      </c>
    </row>
    <row r="20" spans="1:4" x14ac:dyDescent="0.3">
      <c r="A20" t="s">
        <v>840</v>
      </c>
      <c r="B20" s="4"/>
      <c r="C20" s="4" t="str">
        <f>IF(B20="","Select additional variable for variabv[12] if necessary","Ok")</f>
        <v>Select additional variable for variabv[12] if necessary</v>
      </c>
      <c r="D20" t="s">
        <v>849</v>
      </c>
    </row>
    <row r="21" spans="1:4" x14ac:dyDescent="0.3">
      <c r="A21" t="s">
        <v>841</v>
      </c>
      <c r="B21" s="4"/>
      <c r="C21" s="4" t="str">
        <f>IF(B21="","Select additional variable for variabv[13] if necessary","Ok")</f>
        <v>Select additional variable for variabv[13] if necessary</v>
      </c>
      <c r="D21" t="s">
        <v>849</v>
      </c>
    </row>
    <row r="22" spans="1:4" x14ac:dyDescent="0.3">
      <c r="A22" t="s">
        <v>842</v>
      </c>
      <c r="B22" s="4"/>
      <c r="C22" s="4" t="str">
        <f>IF(B22="","Select additional variable for variabv[14] if necessary","Ok")</f>
        <v>Select additional variable for variabv[14] if necessary</v>
      </c>
      <c r="D22" t="s">
        <v>849</v>
      </c>
    </row>
    <row r="23" spans="1:4" x14ac:dyDescent="0.3">
      <c r="A23" t="s">
        <v>843</v>
      </c>
      <c r="B23" s="4"/>
      <c r="C23" s="4" t="str">
        <f>IF(B23="","Select additional variable for variabv[15] if necessary","Ok")</f>
        <v>Select additional variable for variabv[15] if necessary</v>
      </c>
      <c r="D23" t="s">
        <v>849</v>
      </c>
    </row>
    <row r="24" spans="1:4" x14ac:dyDescent="0.3">
      <c r="A24" t="s">
        <v>844</v>
      </c>
      <c r="B24" s="4"/>
      <c r="C24" s="4" t="str">
        <f>IF(B24="","Select additional variable for variabv[16] if necessary","Ok")</f>
        <v>Select additional variable for variabv[16] if necessary</v>
      </c>
      <c r="D24" t="s">
        <v>849</v>
      </c>
    </row>
    <row r="25" spans="1:4" x14ac:dyDescent="0.3">
      <c r="A25" t="s">
        <v>845</v>
      </c>
      <c r="B25" s="4"/>
      <c r="C25" s="4" t="str">
        <f>IF(B25="","Select additional variable for variabv[17] if necessary","Ok")</f>
        <v>Select additional variable for variabv[17] if necessary</v>
      </c>
      <c r="D25" t="s">
        <v>849</v>
      </c>
    </row>
    <row r="26" spans="1:4" x14ac:dyDescent="0.3">
      <c r="A26" t="s">
        <v>846</v>
      </c>
      <c r="B26" s="4"/>
      <c r="C26" s="4" t="str">
        <f>IF(B26="","Select additional variable for variabv[18] if necessary","Ok")</f>
        <v>Select additional variable for variabv[18] if necessary</v>
      </c>
      <c r="D26" t="s">
        <v>849</v>
      </c>
    </row>
    <row r="27" spans="1:4" x14ac:dyDescent="0.3">
      <c r="A27" t="s">
        <v>847</v>
      </c>
      <c r="B27" s="4"/>
      <c r="C27" s="4" t="str">
        <f>IF(B27="","Select additional variable for variabv[19] if necessary","Ok")</f>
        <v>Select additional variable for variabv[19] if necessary</v>
      </c>
      <c r="D27" t="s">
        <v>849</v>
      </c>
    </row>
    <row r="28" spans="1:4" x14ac:dyDescent="0.3">
      <c r="A28" t="s">
        <v>848</v>
      </c>
      <c r="B28" s="4"/>
      <c r="C28" s="4" t="str">
        <f>IF(B28="","Select additional variable for variabv[20] if necessary","Ok")</f>
        <v>Select additional variable for variabv[20] if necessary</v>
      </c>
      <c r="D28" t="s">
        <v>849</v>
      </c>
    </row>
    <row r="29" spans="1:4" x14ac:dyDescent="0.3">
      <c r="A29" t="s">
        <v>7</v>
      </c>
      <c r="C29" t="str">
        <f>IF(B29="","latitud (latitude) value is required","Ok")</f>
        <v>latitud (latitude) value is required</v>
      </c>
      <c r="D29" t="s">
        <v>39</v>
      </c>
    </row>
    <row r="30" spans="1:4" x14ac:dyDescent="0.3">
      <c r="A30" t="s">
        <v>8</v>
      </c>
      <c r="C30" t="str">
        <f>IF(B30="","longitud (longitude) value is required","Ok")</f>
        <v>longitud (longitude) value is required</v>
      </c>
      <c r="D30" t="s">
        <v>39</v>
      </c>
    </row>
    <row r="31" spans="1:4" x14ac:dyDescent="0.3">
      <c r="A31" s="16" t="s">
        <v>9</v>
      </c>
      <c r="C31" t="str">
        <f>IF(B31="","genero (genus) value is required","Ok")</f>
        <v>genero (genus) value is required</v>
      </c>
      <c r="D31" t="s">
        <v>1173</v>
      </c>
    </row>
    <row r="32" spans="1:4" x14ac:dyDescent="0.3">
      <c r="A32" s="16" t="s">
        <v>10</v>
      </c>
      <c r="C32" t="str">
        <f>IF(B32="","respecie (species) value is required","Ok")</f>
        <v>respecie (species) value is required</v>
      </c>
      <c r="D32" t="s">
        <v>1173</v>
      </c>
    </row>
    <row r="33" spans="1:4" x14ac:dyDescent="0.3">
      <c r="A33" s="16" t="s">
        <v>1172</v>
      </c>
      <c r="C33" t="str">
        <f>IF(B33="","ntest value is required","Ok")</f>
        <v>ntest value is required</v>
      </c>
      <c r="D33" t="s">
        <v>41</v>
      </c>
    </row>
    <row r="34" spans="1:4" x14ac:dyDescent="0.3">
      <c r="A34" s="14" t="s">
        <v>11</v>
      </c>
      <c r="C34" t="str">
        <f>IF(B34="","ausencia (absence type) value is required","Ok")</f>
        <v>ausencia (absence type) value is required</v>
      </c>
      <c r="D34" t="s">
        <v>40</v>
      </c>
    </row>
    <row r="35" spans="1:4" x14ac:dyDescent="0.3">
      <c r="A35" s="9" t="s">
        <v>12</v>
      </c>
      <c r="C35" t="str">
        <f>IF(OR(B34="TRUE",B34="absence"),"pasaporteb name must be provided","pasaporteb name is not necessary")</f>
        <v>pasaporteb name is not necessary</v>
      </c>
      <c r="D35" t="s">
        <v>806</v>
      </c>
    </row>
    <row r="36" spans="1:4" x14ac:dyDescent="0.3">
      <c r="A36" s="15" t="s">
        <v>13</v>
      </c>
      <c r="C36" t="str">
        <f>IF(B34="pseudo absence","pareps value must be provided","it is not necesarry to fill this cell")</f>
        <v>it is not necesarry to fill this cell</v>
      </c>
      <c r="D36" t="s">
        <v>41</v>
      </c>
    </row>
    <row r="37" spans="1:4" x14ac:dyDescent="0.3">
      <c r="A37" s="15" t="s">
        <v>14</v>
      </c>
      <c r="C37" t="str">
        <f>IF(B34="pseudo absence","pansel value must be provided","it is not necesarry to fill this cell")</f>
        <v>it is not necesarry to fill this cell</v>
      </c>
      <c r="D37" t="s">
        <v>41</v>
      </c>
    </row>
    <row r="38" spans="1:4" x14ac:dyDescent="0.3">
      <c r="A38" s="15" t="s">
        <v>15</v>
      </c>
      <c r="C38" t="str">
        <f>IF(B34="pseudo absence","pastrat option must be selected","it is not necesarry to fill this cell")</f>
        <v>it is not necesarry to fill this cell</v>
      </c>
      <c r="D38" t="s">
        <v>40</v>
      </c>
    </row>
    <row r="39" spans="1:4" x14ac:dyDescent="0.3">
      <c r="A39" s="10" t="s">
        <v>16</v>
      </c>
      <c r="C39" t="str">
        <f>IF(B38="disk","padiskmin value must be provided","it is not necessary to fill this cell")</f>
        <v>it is not necessary to fill this cell</v>
      </c>
      <c r="D39" t="s">
        <v>41</v>
      </c>
    </row>
    <row r="40" spans="1:4" x14ac:dyDescent="0.3">
      <c r="A40" s="10" t="s">
        <v>17</v>
      </c>
      <c r="C40" t="str">
        <f>IF(B38="disk","padiskmax value must be provided","it is not necessary to fill this cell")</f>
        <v>it is not necessary to fill this cell</v>
      </c>
      <c r="D40" t="s">
        <v>41</v>
      </c>
    </row>
    <row r="41" spans="1:4" x14ac:dyDescent="0.3">
      <c r="A41" s="10" t="s">
        <v>18</v>
      </c>
      <c r="C41" t="str">
        <f>IF(B38="sre","pasreq value must be provided","it is not necessary to fill this cell")</f>
        <v>it is not necessary to fill this cell</v>
      </c>
      <c r="D41" t="s">
        <v>850</v>
      </c>
    </row>
    <row r="42" spans="1:4" x14ac:dyDescent="0.3">
      <c r="A42" s="10" t="s">
        <v>823</v>
      </c>
      <c r="C42" t="str">
        <f>IF(B38="elc","paelc[1] option must be provided","it is not necessary to fill this cell")</f>
        <v>it is not necessary to fill this cell</v>
      </c>
      <c r="D42" t="s">
        <v>827</v>
      </c>
    </row>
    <row r="43" spans="1:4" x14ac:dyDescent="0.3">
      <c r="A43" s="10" t="s">
        <v>824</v>
      </c>
      <c r="C43" t="str">
        <f>IF(AND(B38="elc",B42&lt;&gt;""),"paelc[2] could be optionally provided","it is not necessary to select an option for this cell")</f>
        <v>it is not necessary to select an option for this cell</v>
      </c>
      <c r="D43" t="s">
        <v>828</v>
      </c>
    </row>
    <row r="44" spans="1:4" x14ac:dyDescent="0.3">
      <c r="A44" s="10" t="s">
        <v>825</v>
      </c>
      <c r="C44" t="str">
        <f>IF(AND(B38="elc",B43&lt;&gt;""),"paelc[3] could be optionally provided","it is not necessary to select an option for this cell")</f>
        <v>it is not necessary to select an option for this cell</v>
      </c>
      <c r="D44" t="s">
        <v>828</v>
      </c>
    </row>
    <row r="45" spans="1:4" x14ac:dyDescent="0.3">
      <c r="A45" s="10" t="s">
        <v>826</v>
      </c>
      <c r="C45" t="str">
        <f>IF(AND(B38="elc",B44&lt;&gt;""),"paelc[4] could be optionally provided","it is not necessary to select an option for this cell")</f>
        <v>it is not necessary to select an option for this cell</v>
      </c>
      <c r="D45" t="s">
        <v>828</v>
      </c>
    </row>
    <row r="46" spans="1:4" x14ac:dyDescent="0.3">
      <c r="A46" s="10" t="s">
        <v>20</v>
      </c>
      <c r="C46" t="str">
        <f>IF(B38="elc","The name of the ELC map (including .grd extension) must be provided","it is not necessary to fill this cell")</f>
        <v>it is not necessary to fill this cell</v>
      </c>
      <c r="D46" t="s">
        <v>807</v>
      </c>
    </row>
    <row r="47" spans="1:4" x14ac:dyDescent="0.3">
      <c r="A47" s="10" t="s">
        <v>21</v>
      </c>
      <c r="C47" t="str">
        <f>IF(B38="elc","The name of the statistic table of ELC map (including .txt extension) must be provided","it is not necessary to fill this cell")</f>
        <v>it is not necessary to fill this cell</v>
      </c>
      <c r="D47" t="s">
        <v>808</v>
      </c>
    </row>
    <row r="48" spans="1:4" x14ac:dyDescent="0.3">
      <c r="A48" s="9" t="s">
        <v>1169</v>
      </c>
      <c r="B48" s="4"/>
      <c r="C48" s="4" t="str">
        <f>IF(B48="","testNAs value is required","Ok")</f>
        <v>testNAs value is required</v>
      </c>
      <c r="D48" t="s">
        <v>39</v>
      </c>
    </row>
    <row r="49" spans="1:4" x14ac:dyDescent="0.3">
      <c r="A49" s="17" t="s">
        <v>1174</v>
      </c>
      <c r="C49" t="str">
        <f>IF(B49="","cutoff value is required","Ok")</f>
        <v>cutoff value is required</v>
      </c>
      <c r="D49" t="s">
        <v>41</v>
      </c>
    </row>
    <row r="50" spans="1:4" x14ac:dyDescent="0.3">
      <c r="A50" s="17" t="s">
        <v>1175</v>
      </c>
      <c r="C50" t="str">
        <f>IF(B50="","dynamic value is required","Ok")</f>
        <v>dynamic value is required</v>
      </c>
      <c r="D50" t="s">
        <v>39</v>
      </c>
    </row>
    <row r="51" spans="1:4" x14ac:dyDescent="0.3">
      <c r="A51" s="13" t="s">
        <v>36</v>
      </c>
      <c r="C51" t="str">
        <f>IF(B51="","resultados value is required","Ok")</f>
        <v>resultados value is required</v>
      </c>
      <c r="D51" t="s">
        <v>805</v>
      </c>
    </row>
  </sheetData>
  <dataValidations count="5">
    <dataValidation type="whole" allowBlank="1" showInputMessage="1" showErrorMessage="1" sqref="B6" xr:uid="{00000000-0002-0000-0000-000000000000}">
      <formula1>0</formula1>
      <formula2>100</formula2>
    </dataValidation>
    <dataValidation type="whole" allowBlank="1" showInputMessage="1" showErrorMessage="1" sqref="B36" xr:uid="{00000000-0002-0000-0000-000001000000}">
      <formula1>1</formula1>
      <formula2>100</formula2>
    </dataValidation>
    <dataValidation type="whole" allowBlank="1" showInputMessage="1" showErrorMessage="1" sqref="B39:B40 B37" xr:uid="{00000000-0002-0000-0000-000002000000}">
      <formula1>1</formula1>
      <formula2>10000000</formula2>
    </dataValidation>
    <dataValidation type="decimal" allowBlank="1" showInputMessage="1" showErrorMessage="1" sqref="B41" xr:uid="{00000000-0002-0000-0000-000003000000}">
      <formula1>0</formula1>
      <formula2>0.49</formula2>
    </dataValidation>
    <dataValidation type="whole" allowBlank="1" showInputMessage="1" showErrorMessage="1" sqref="B7" xr:uid="{00000000-0002-0000-0000-000007000000}">
      <formula1>0</formula1>
      <formula2>1000</formula2>
    </dataValidation>
  </dataValidations>
  <pageMargins left="0.7" right="0.7" top="0.75" bottom="0.75" header="0.3" footer="0.3"/>
  <pageSetup paperSize="9" orientation="portrait" r:id="rId1"/>
  <ignoredErrors>
    <ignoredError sqref="C37" formula="1"/>
  </ignoredError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A000000}">
          <x14:formula1>
            <xm:f>Hoja1!$A$2:$A$174</xm:f>
          </x14:formula1>
          <xm:sqref>B3</xm:sqref>
        </x14:dataValidation>
        <x14:dataValidation type="list" allowBlank="1" showInputMessage="1" showErrorMessage="1" xr:uid="{00000000-0002-0000-0000-00000B000000}">
          <x14:formula1>
            <xm:f>Hoja1!$C$2:$C$3</xm:f>
          </x14:formula1>
          <xm:sqref>B29:B30 B5 B48 B50</xm:sqref>
        </x14:dataValidation>
        <x14:dataValidation type="list" allowBlank="1" showInputMessage="1" showErrorMessage="1" xr:uid="{00000000-0002-0000-0000-00000D000000}">
          <x14:formula1>
            <xm:f>Hoja1!$E$2:$E$5</xm:f>
          </x14:formula1>
          <xm:sqref>B8</xm:sqref>
        </x14:dataValidation>
        <x14:dataValidation type="list" allowBlank="1" showInputMessage="1" showErrorMessage="1" xr:uid="{00000000-0002-0000-0000-00000E000000}">
          <x14:formula1>
            <xm:f>Hoja1!$F$2:$F$3</xm:f>
          </x14:formula1>
          <xm:sqref>B34</xm:sqref>
        </x14:dataValidation>
        <x14:dataValidation type="list" allowBlank="1" showInputMessage="1" showErrorMessage="1" xr:uid="{00000000-0002-0000-0000-00000F000000}">
          <x14:formula1>
            <xm:f>Hoja1!$G$2:$G$6</xm:f>
          </x14:formula1>
          <xm:sqref>B38</xm:sqref>
        </x14:dataValidation>
        <x14:dataValidation type="list" allowBlank="1" showInputMessage="1" showErrorMessage="1" xr:uid="{00000000-0002-0000-0000-000017000000}">
          <x14:formula1>
            <xm:f>Hoja1!$P$2:$P$6</xm:f>
          </x14:formula1>
          <xm:sqref>B42:B45</xm:sqref>
        </x14:dataValidation>
        <x14:dataValidation type="list" allowBlank="1" showInputMessage="1" showErrorMessage="1" xr:uid="{1F8D51CB-71F7-4386-BD91-0FCA22FAC445}">
          <x14:formula1>
            <xm:f>Hoja1!$B$2:$B$178</xm:f>
          </x14:formula1>
          <xm:sqref>B9:B28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8"/>
  <sheetViews>
    <sheetView workbookViewId="0"/>
  </sheetViews>
  <sheetFormatPr defaultColWidth="11.5546875" defaultRowHeight="14.4" x14ac:dyDescent="0.3"/>
  <cols>
    <col min="1" max="1" width="31.6640625" customWidth="1"/>
    <col min="2" max="2" width="18" customWidth="1"/>
    <col min="3" max="3" width="26.5546875" customWidth="1"/>
    <col min="4" max="4" width="39" customWidth="1"/>
    <col min="94" max="94" width="18" customWidth="1"/>
  </cols>
  <sheetData>
    <row r="1" spans="1:8" x14ac:dyDescent="0.3">
      <c r="A1" s="1" t="s">
        <v>490</v>
      </c>
      <c r="B1" s="1" t="s">
        <v>491</v>
      </c>
      <c r="C1" s="1" t="s">
        <v>49</v>
      </c>
      <c r="D1" s="1" t="s">
        <v>50</v>
      </c>
      <c r="E1" s="1" t="s">
        <v>51</v>
      </c>
      <c r="F1" s="1" t="s">
        <v>52</v>
      </c>
      <c r="G1" s="1" t="s">
        <v>53</v>
      </c>
      <c r="H1" s="1" t="s">
        <v>54</v>
      </c>
    </row>
    <row r="2" spans="1:8" x14ac:dyDescent="0.3">
      <c r="A2" t="s">
        <v>55</v>
      </c>
      <c r="B2" t="s">
        <v>56</v>
      </c>
      <c r="C2" t="s">
        <v>57</v>
      </c>
      <c r="D2" t="s">
        <v>58</v>
      </c>
      <c r="E2" t="s">
        <v>59</v>
      </c>
      <c r="F2" t="s">
        <v>60</v>
      </c>
      <c r="G2" t="s">
        <v>61</v>
      </c>
    </row>
    <row r="3" spans="1:8" x14ac:dyDescent="0.3">
      <c r="A3" t="s">
        <v>103</v>
      </c>
      <c r="B3" t="s">
        <v>104</v>
      </c>
      <c r="C3" t="s">
        <v>105</v>
      </c>
      <c r="D3" t="s">
        <v>106</v>
      </c>
      <c r="E3" t="s">
        <v>59</v>
      </c>
      <c r="F3" t="s">
        <v>60</v>
      </c>
      <c r="G3" t="s">
        <v>61</v>
      </c>
    </row>
    <row r="4" spans="1:8" x14ac:dyDescent="0.3">
      <c r="A4" t="s">
        <v>107</v>
      </c>
      <c r="B4" t="s">
        <v>108</v>
      </c>
      <c r="C4" t="s">
        <v>109</v>
      </c>
      <c r="D4" t="s">
        <v>110</v>
      </c>
      <c r="E4" t="s">
        <v>111</v>
      </c>
      <c r="F4" t="s">
        <v>60</v>
      </c>
      <c r="G4" t="s">
        <v>61</v>
      </c>
    </row>
    <row r="5" spans="1:8" x14ac:dyDescent="0.3">
      <c r="A5" t="s">
        <v>112</v>
      </c>
      <c r="B5" t="s">
        <v>113</v>
      </c>
      <c r="C5" t="s">
        <v>114</v>
      </c>
      <c r="D5" t="s">
        <v>115</v>
      </c>
      <c r="E5" t="s">
        <v>111</v>
      </c>
      <c r="F5" t="s">
        <v>60</v>
      </c>
      <c r="G5" t="s">
        <v>61</v>
      </c>
    </row>
    <row r="6" spans="1:8" x14ac:dyDescent="0.3">
      <c r="A6" t="s">
        <v>116</v>
      </c>
      <c r="B6" t="s">
        <v>117</v>
      </c>
      <c r="C6" t="s">
        <v>118</v>
      </c>
      <c r="D6" t="s">
        <v>119</v>
      </c>
      <c r="E6" t="s">
        <v>59</v>
      </c>
      <c r="F6" t="s">
        <v>60</v>
      </c>
      <c r="G6" t="s">
        <v>61</v>
      </c>
    </row>
    <row r="7" spans="1:8" x14ac:dyDescent="0.3">
      <c r="A7" t="s">
        <v>120</v>
      </c>
      <c r="B7" t="s">
        <v>121</v>
      </c>
      <c r="C7" t="s">
        <v>122</v>
      </c>
      <c r="D7" t="s">
        <v>123</v>
      </c>
      <c r="E7" t="s">
        <v>59</v>
      </c>
      <c r="F7" t="s">
        <v>60</v>
      </c>
      <c r="G7" t="s">
        <v>61</v>
      </c>
    </row>
    <row r="8" spans="1:8" x14ac:dyDescent="0.3">
      <c r="A8" t="s">
        <v>124</v>
      </c>
      <c r="B8" t="s">
        <v>125</v>
      </c>
      <c r="C8" t="s">
        <v>126</v>
      </c>
      <c r="D8" t="s">
        <v>127</v>
      </c>
      <c r="E8" t="s">
        <v>59</v>
      </c>
      <c r="F8" t="s">
        <v>60</v>
      </c>
      <c r="G8" t="s">
        <v>61</v>
      </c>
    </row>
    <row r="9" spans="1:8" x14ac:dyDescent="0.3">
      <c r="A9" t="s">
        <v>128</v>
      </c>
      <c r="B9" t="s">
        <v>129</v>
      </c>
      <c r="C9" t="s">
        <v>130</v>
      </c>
      <c r="D9" t="s">
        <v>131</v>
      </c>
      <c r="E9" t="s">
        <v>59</v>
      </c>
      <c r="F9" t="s">
        <v>60</v>
      </c>
      <c r="G9" t="s">
        <v>61</v>
      </c>
    </row>
    <row r="10" spans="1:8" x14ac:dyDescent="0.3">
      <c r="A10" t="s">
        <v>132</v>
      </c>
      <c r="B10" t="s">
        <v>133</v>
      </c>
      <c r="C10" t="s">
        <v>134</v>
      </c>
      <c r="D10" t="s">
        <v>135</v>
      </c>
      <c r="E10" t="s">
        <v>59</v>
      </c>
      <c r="F10" t="s">
        <v>60</v>
      </c>
      <c r="G10" t="s">
        <v>61</v>
      </c>
    </row>
    <row r="11" spans="1:8" x14ac:dyDescent="0.3">
      <c r="A11" t="s">
        <v>62</v>
      </c>
      <c r="B11" t="s">
        <v>63</v>
      </c>
      <c r="C11" t="s">
        <v>64</v>
      </c>
      <c r="D11" t="s">
        <v>65</v>
      </c>
      <c r="E11" t="s">
        <v>59</v>
      </c>
      <c r="F11" t="s">
        <v>60</v>
      </c>
      <c r="G11" t="s">
        <v>61</v>
      </c>
    </row>
    <row r="12" spans="1:8" x14ac:dyDescent="0.3">
      <c r="A12" t="s">
        <v>66</v>
      </c>
      <c r="B12" t="s">
        <v>67</v>
      </c>
      <c r="C12" t="s">
        <v>68</v>
      </c>
      <c r="D12" t="s">
        <v>69</v>
      </c>
      <c r="E12" t="s">
        <v>59</v>
      </c>
      <c r="F12" t="s">
        <v>60</v>
      </c>
      <c r="G12" t="s">
        <v>61</v>
      </c>
    </row>
    <row r="13" spans="1:8" x14ac:dyDescent="0.3">
      <c r="A13" t="s">
        <v>70</v>
      </c>
      <c r="B13" t="s">
        <v>71</v>
      </c>
      <c r="C13" t="s">
        <v>72</v>
      </c>
      <c r="D13" t="s">
        <v>73</v>
      </c>
      <c r="E13" t="s">
        <v>74</v>
      </c>
      <c r="F13" t="s">
        <v>60</v>
      </c>
      <c r="G13" t="s">
        <v>61</v>
      </c>
    </row>
    <row r="14" spans="1:8" x14ac:dyDescent="0.3">
      <c r="A14" t="s">
        <v>75</v>
      </c>
      <c r="B14" t="s">
        <v>76</v>
      </c>
      <c r="C14" t="s">
        <v>77</v>
      </c>
      <c r="D14" t="s">
        <v>78</v>
      </c>
      <c r="E14" t="s">
        <v>74</v>
      </c>
      <c r="F14" t="s">
        <v>60</v>
      </c>
      <c r="G14" t="s">
        <v>61</v>
      </c>
    </row>
    <row r="15" spans="1:8" x14ac:dyDescent="0.3">
      <c r="A15" t="s">
        <v>79</v>
      </c>
      <c r="B15" t="s">
        <v>80</v>
      </c>
      <c r="C15" t="s">
        <v>81</v>
      </c>
      <c r="D15" t="s">
        <v>82</v>
      </c>
      <c r="E15" t="s">
        <v>74</v>
      </c>
      <c r="F15" t="s">
        <v>60</v>
      </c>
      <c r="G15" t="s">
        <v>61</v>
      </c>
    </row>
    <row r="16" spans="1:8" x14ac:dyDescent="0.3">
      <c r="A16" t="s">
        <v>83</v>
      </c>
      <c r="B16" t="s">
        <v>84</v>
      </c>
      <c r="C16" t="s">
        <v>85</v>
      </c>
      <c r="D16" t="s">
        <v>86</v>
      </c>
      <c r="E16" t="s">
        <v>74</v>
      </c>
      <c r="F16" t="s">
        <v>60</v>
      </c>
      <c r="G16" t="s">
        <v>61</v>
      </c>
    </row>
    <row r="17" spans="1:7" x14ac:dyDescent="0.3">
      <c r="A17" t="s">
        <v>87</v>
      </c>
      <c r="B17" t="s">
        <v>88</v>
      </c>
      <c r="C17" t="s">
        <v>89</v>
      </c>
      <c r="D17" t="s">
        <v>90</v>
      </c>
      <c r="E17" t="s">
        <v>74</v>
      </c>
      <c r="F17" t="s">
        <v>60</v>
      </c>
      <c r="G17" t="s">
        <v>61</v>
      </c>
    </row>
    <row r="18" spans="1:7" x14ac:dyDescent="0.3">
      <c r="A18" t="s">
        <v>91</v>
      </c>
      <c r="B18" t="s">
        <v>92</v>
      </c>
      <c r="C18" t="s">
        <v>93</v>
      </c>
      <c r="D18" t="s">
        <v>94</v>
      </c>
      <c r="E18" t="s">
        <v>74</v>
      </c>
      <c r="F18" t="s">
        <v>60</v>
      </c>
      <c r="G18" t="s">
        <v>61</v>
      </c>
    </row>
    <row r="19" spans="1:7" x14ac:dyDescent="0.3">
      <c r="A19" t="s">
        <v>95</v>
      </c>
      <c r="B19" t="s">
        <v>96</v>
      </c>
      <c r="C19" t="s">
        <v>97</v>
      </c>
      <c r="D19" t="s">
        <v>98</v>
      </c>
      <c r="E19" t="s">
        <v>74</v>
      </c>
      <c r="F19" t="s">
        <v>60</v>
      </c>
      <c r="G19" t="s">
        <v>61</v>
      </c>
    </row>
    <row r="20" spans="1:7" x14ac:dyDescent="0.3">
      <c r="A20" t="s">
        <v>99</v>
      </c>
      <c r="B20" t="s">
        <v>100</v>
      </c>
      <c r="C20" t="s">
        <v>101</v>
      </c>
      <c r="D20" t="s">
        <v>102</v>
      </c>
      <c r="E20" t="s">
        <v>74</v>
      </c>
      <c r="F20" t="s">
        <v>60</v>
      </c>
      <c r="G20" t="s">
        <v>61</v>
      </c>
    </row>
    <row r="21" spans="1:7" x14ac:dyDescent="0.3">
      <c r="A21" t="s">
        <v>136</v>
      </c>
      <c r="B21" t="s">
        <v>137</v>
      </c>
      <c r="C21" t="s">
        <v>138</v>
      </c>
      <c r="D21" t="s">
        <v>139</v>
      </c>
      <c r="E21" t="s">
        <v>74</v>
      </c>
      <c r="F21" t="s">
        <v>60</v>
      </c>
      <c r="G21" t="s">
        <v>61</v>
      </c>
    </row>
    <row r="22" spans="1:7" x14ac:dyDescent="0.3">
      <c r="A22" t="s">
        <v>140</v>
      </c>
      <c r="B22" t="s">
        <v>141</v>
      </c>
      <c r="C22" t="s">
        <v>142</v>
      </c>
      <c r="D22" t="s">
        <v>143</v>
      </c>
      <c r="E22" t="s">
        <v>74</v>
      </c>
      <c r="F22" t="s">
        <v>60</v>
      </c>
      <c r="G22" t="s">
        <v>61</v>
      </c>
    </row>
    <row r="23" spans="1:7" x14ac:dyDescent="0.3">
      <c r="A23" t="s">
        <v>144</v>
      </c>
      <c r="B23" t="s">
        <v>145</v>
      </c>
      <c r="C23" t="s">
        <v>146</v>
      </c>
      <c r="D23" t="s">
        <v>147</v>
      </c>
      <c r="E23" t="s">
        <v>74</v>
      </c>
      <c r="F23" t="s">
        <v>60</v>
      </c>
      <c r="G23" t="s">
        <v>61</v>
      </c>
    </row>
    <row r="24" spans="1:7" x14ac:dyDescent="0.3">
      <c r="A24" t="s">
        <v>148</v>
      </c>
      <c r="B24" t="s">
        <v>149</v>
      </c>
      <c r="C24" t="s">
        <v>150</v>
      </c>
      <c r="D24" t="s">
        <v>151</v>
      </c>
      <c r="E24" t="s">
        <v>74</v>
      </c>
      <c r="F24" t="s">
        <v>60</v>
      </c>
      <c r="G24" t="s">
        <v>61</v>
      </c>
    </row>
    <row r="25" spans="1:7" x14ac:dyDescent="0.3">
      <c r="A25" t="s">
        <v>152</v>
      </c>
      <c r="B25" t="s">
        <v>153</v>
      </c>
      <c r="C25" t="s">
        <v>154</v>
      </c>
      <c r="D25" t="s">
        <v>155</v>
      </c>
      <c r="E25" t="s">
        <v>74</v>
      </c>
      <c r="F25" t="s">
        <v>60</v>
      </c>
      <c r="G25" t="s">
        <v>61</v>
      </c>
    </row>
    <row r="26" spans="1:7" x14ac:dyDescent="0.3">
      <c r="A26" t="s">
        <v>156</v>
      </c>
      <c r="B26" t="s">
        <v>157</v>
      </c>
      <c r="C26" t="s">
        <v>158</v>
      </c>
      <c r="D26" t="s">
        <v>159</v>
      </c>
      <c r="E26" t="s">
        <v>74</v>
      </c>
      <c r="F26" t="s">
        <v>60</v>
      </c>
      <c r="G26" t="s">
        <v>61</v>
      </c>
    </row>
    <row r="27" spans="1:7" x14ac:dyDescent="0.3">
      <c r="A27" t="s">
        <v>160</v>
      </c>
      <c r="B27" t="s">
        <v>161</v>
      </c>
      <c r="C27" t="s">
        <v>162</v>
      </c>
      <c r="D27" t="s">
        <v>163</v>
      </c>
      <c r="E27" t="s">
        <v>74</v>
      </c>
      <c r="F27" t="s">
        <v>60</v>
      </c>
      <c r="G27" t="s">
        <v>61</v>
      </c>
    </row>
    <row r="28" spans="1:7" x14ac:dyDescent="0.3">
      <c r="A28" t="s">
        <v>164</v>
      </c>
      <c r="B28" t="s">
        <v>165</v>
      </c>
      <c r="C28" t="s">
        <v>166</v>
      </c>
      <c r="D28" t="s">
        <v>167</v>
      </c>
      <c r="E28" t="s">
        <v>74</v>
      </c>
      <c r="F28" t="s">
        <v>60</v>
      </c>
      <c r="G28" t="s">
        <v>61</v>
      </c>
    </row>
    <row r="29" spans="1:7" x14ac:dyDescent="0.3">
      <c r="A29" t="s">
        <v>168</v>
      </c>
      <c r="B29" t="s">
        <v>169</v>
      </c>
      <c r="C29" t="s">
        <v>170</v>
      </c>
      <c r="D29" t="s">
        <v>171</v>
      </c>
      <c r="E29" t="s">
        <v>74</v>
      </c>
      <c r="F29" t="s">
        <v>60</v>
      </c>
      <c r="G29" t="s">
        <v>61</v>
      </c>
    </row>
    <row r="30" spans="1:7" x14ac:dyDescent="0.3">
      <c r="A30" t="s">
        <v>172</v>
      </c>
      <c r="B30" t="s">
        <v>173</v>
      </c>
      <c r="C30" t="s">
        <v>174</v>
      </c>
      <c r="D30" t="s">
        <v>175</v>
      </c>
      <c r="E30" t="s">
        <v>74</v>
      </c>
      <c r="F30" t="s">
        <v>60</v>
      </c>
      <c r="G30" t="s">
        <v>61</v>
      </c>
    </row>
    <row r="31" spans="1:7" x14ac:dyDescent="0.3">
      <c r="A31" t="s">
        <v>176</v>
      </c>
      <c r="B31" t="s">
        <v>177</v>
      </c>
      <c r="C31" t="s">
        <v>178</v>
      </c>
      <c r="D31" t="s">
        <v>179</v>
      </c>
      <c r="E31" t="s">
        <v>74</v>
      </c>
      <c r="F31" t="s">
        <v>60</v>
      </c>
      <c r="G31" t="s">
        <v>61</v>
      </c>
    </row>
    <row r="32" spans="1:7" x14ac:dyDescent="0.3">
      <c r="A32" t="s">
        <v>180</v>
      </c>
      <c r="B32" t="s">
        <v>181</v>
      </c>
      <c r="C32" t="s">
        <v>182</v>
      </c>
      <c r="D32" t="s">
        <v>183</v>
      </c>
      <c r="E32" t="s">
        <v>74</v>
      </c>
      <c r="F32" t="s">
        <v>60</v>
      </c>
      <c r="G32" t="s">
        <v>61</v>
      </c>
    </row>
    <row r="33" spans="1:8" x14ac:dyDescent="0.3">
      <c r="A33" t="s">
        <v>184</v>
      </c>
      <c r="B33" t="s">
        <v>185</v>
      </c>
      <c r="C33" t="s">
        <v>186</v>
      </c>
      <c r="D33" t="s">
        <v>187</v>
      </c>
      <c r="E33" t="s">
        <v>59</v>
      </c>
      <c r="F33" t="s">
        <v>60</v>
      </c>
      <c r="G33" t="s">
        <v>61</v>
      </c>
    </row>
    <row r="34" spans="1:8" x14ac:dyDescent="0.3">
      <c r="A34" t="s">
        <v>188</v>
      </c>
      <c r="B34" t="s">
        <v>189</v>
      </c>
      <c r="C34" t="s">
        <v>190</v>
      </c>
      <c r="D34" t="s">
        <v>191</v>
      </c>
      <c r="E34" t="s">
        <v>59</v>
      </c>
      <c r="F34" t="s">
        <v>60</v>
      </c>
      <c r="G34" t="s">
        <v>61</v>
      </c>
    </row>
    <row r="35" spans="1:8" x14ac:dyDescent="0.3">
      <c r="A35" t="s">
        <v>192</v>
      </c>
      <c r="B35" t="s">
        <v>193</v>
      </c>
      <c r="C35" t="s">
        <v>194</v>
      </c>
      <c r="D35" t="s">
        <v>195</v>
      </c>
      <c r="E35" t="s">
        <v>59</v>
      </c>
      <c r="F35" t="s">
        <v>60</v>
      </c>
      <c r="G35" t="s">
        <v>61</v>
      </c>
    </row>
    <row r="36" spans="1:8" x14ac:dyDescent="0.3">
      <c r="A36" t="s">
        <v>196</v>
      </c>
      <c r="B36" t="s">
        <v>197</v>
      </c>
      <c r="C36" t="s">
        <v>198</v>
      </c>
      <c r="D36" t="s">
        <v>199</v>
      </c>
      <c r="E36" t="s">
        <v>59</v>
      </c>
      <c r="F36" t="s">
        <v>60</v>
      </c>
      <c r="G36" t="s">
        <v>61</v>
      </c>
    </row>
    <row r="37" spans="1:8" x14ac:dyDescent="0.3">
      <c r="A37" t="s">
        <v>200</v>
      </c>
      <c r="B37" t="s">
        <v>201</v>
      </c>
      <c r="C37" t="s">
        <v>202</v>
      </c>
      <c r="D37" t="s">
        <v>203</v>
      </c>
      <c r="E37" t="s">
        <v>59</v>
      </c>
      <c r="F37" t="s">
        <v>60</v>
      </c>
      <c r="G37" t="s">
        <v>61</v>
      </c>
    </row>
    <row r="38" spans="1:8" x14ac:dyDescent="0.3">
      <c r="A38" t="s">
        <v>204</v>
      </c>
      <c r="B38" t="s">
        <v>205</v>
      </c>
      <c r="C38" t="s">
        <v>206</v>
      </c>
      <c r="D38" t="s">
        <v>207</v>
      </c>
      <c r="E38" t="s">
        <v>59</v>
      </c>
      <c r="F38" t="s">
        <v>60</v>
      </c>
      <c r="G38" t="s">
        <v>61</v>
      </c>
    </row>
    <row r="39" spans="1:8" x14ac:dyDescent="0.3">
      <c r="A39" t="s">
        <v>208</v>
      </c>
      <c r="B39" t="s">
        <v>209</v>
      </c>
      <c r="C39" t="s">
        <v>210</v>
      </c>
      <c r="D39" t="s">
        <v>211</v>
      </c>
      <c r="E39" t="s">
        <v>59</v>
      </c>
      <c r="F39" t="s">
        <v>60</v>
      </c>
      <c r="G39" t="s">
        <v>61</v>
      </c>
    </row>
    <row r="40" spans="1:8" x14ac:dyDescent="0.3">
      <c r="A40" t="s">
        <v>212</v>
      </c>
      <c r="B40" t="s">
        <v>213</v>
      </c>
      <c r="C40" t="s">
        <v>214</v>
      </c>
      <c r="D40" t="s">
        <v>215</v>
      </c>
      <c r="E40" t="s">
        <v>59</v>
      </c>
      <c r="F40" t="s">
        <v>60</v>
      </c>
      <c r="G40" t="s">
        <v>61</v>
      </c>
    </row>
    <row r="41" spans="1:8" x14ac:dyDescent="0.3">
      <c r="A41" t="s">
        <v>216</v>
      </c>
      <c r="B41" t="s">
        <v>217</v>
      </c>
      <c r="C41" t="s">
        <v>218</v>
      </c>
      <c r="D41" t="s">
        <v>219</v>
      </c>
      <c r="E41" t="s">
        <v>59</v>
      </c>
      <c r="F41" t="s">
        <v>60</v>
      </c>
      <c r="G41" t="s">
        <v>61</v>
      </c>
    </row>
    <row r="42" spans="1:8" x14ac:dyDescent="0.3">
      <c r="A42" t="s">
        <v>220</v>
      </c>
      <c r="B42" t="s">
        <v>221</v>
      </c>
      <c r="C42" t="s">
        <v>222</v>
      </c>
      <c r="D42" t="s">
        <v>223</v>
      </c>
      <c r="E42" t="s">
        <v>59</v>
      </c>
      <c r="F42" t="s">
        <v>60</v>
      </c>
      <c r="G42" t="s">
        <v>61</v>
      </c>
    </row>
    <row r="43" spans="1:8" x14ac:dyDescent="0.3">
      <c r="A43" t="s">
        <v>224</v>
      </c>
      <c r="B43" t="s">
        <v>225</v>
      </c>
      <c r="C43" t="s">
        <v>226</v>
      </c>
      <c r="D43" t="s">
        <v>227</v>
      </c>
      <c r="E43" t="s">
        <v>59</v>
      </c>
      <c r="F43" t="s">
        <v>60</v>
      </c>
      <c r="G43" t="s">
        <v>61</v>
      </c>
    </row>
    <row r="44" spans="1:8" x14ac:dyDescent="0.3">
      <c r="A44" t="s">
        <v>228</v>
      </c>
      <c r="B44" t="s">
        <v>229</v>
      </c>
      <c r="C44" t="s">
        <v>230</v>
      </c>
      <c r="D44" t="s">
        <v>231</v>
      </c>
      <c r="E44" t="s">
        <v>59</v>
      </c>
      <c r="F44" t="s">
        <v>60</v>
      </c>
      <c r="G44" t="s">
        <v>61</v>
      </c>
    </row>
    <row r="45" spans="1:8" x14ac:dyDescent="0.3">
      <c r="A45" t="s">
        <v>232</v>
      </c>
      <c r="B45" t="s">
        <v>233</v>
      </c>
      <c r="C45" t="s">
        <v>234</v>
      </c>
      <c r="D45" t="s">
        <v>235</v>
      </c>
      <c r="E45" t="s">
        <v>59</v>
      </c>
      <c r="F45" t="s">
        <v>60</v>
      </c>
      <c r="G45" t="s">
        <v>61</v>
      </c>
      <c r="H45" t="s">
        <v>236</v>
      </c>
    </row>
    <row r="46" spans="1:8" x14ac:dyDescent="0.3">
      <c r="A46" t="s">
        <v>237</v>
      </c>
      <c r="B46" t="s">
        <v>238</v>
      </c>
      <c r="C46" t="s">
        <v>239</v>
      </c>
      <c r="D46" t="s">
        <v>240</v>
      </c>
      <c r="E46" t="s">
        <v>59</v>
      </c>
      <c r="F46" t="s">
        <v>60</v>
      </c>
      <c r="G46" t="s">
        <v>61</v>
      </c>
      <c r="H46" t="s">
        <v>236</v>
      </c>
    </row>
    <row r="47" spans="1:8" x14ac:dyDescent="0.3">
      <c r="A47" t="s">
        <v>241</v>
      </c>
      <c r="B47" t="s">
        <v>242</v>
      </c>
      <c r="C47" t="s">
        <v>243</v>
      </c>
      <c r="D47" t="s">
        <v>244</v>
      </c>
      <c r="E47" t="s">
        <v>59</v>
      </c>
      <c r="F47" t="s">
        <v>60</v>
      </c>
      <c r="G47" t="s">
        <v>61</v>
      </c>
      <c r="H47" t="s">
        <v>236</v>
      </c>
    </row>
    <row r="48" spans="1:8" x14ac:dyDescent="0.3">
      <c r="A48" t="s">
        <v>245</v>
      </c>
      <c r="B48" t="s">
        <v>246</v>
      </c>
      <c r="C48" t="s">
        <v>247</v>
      </c>
      <c r="D48" t="s">
        <v>248</v>
      </c>
      <c r="E48" t="s">
        <v>59</v>
      </c>
      <c r="F48" t="s">
        <v>60</v>
      </c>
      <c r="G48" t="s">
        <v>61</v>
      </c>
      <c r="H48" t="s">
        <v>236</v>
      </c>
    </row>
    <row r="49" spans="1:8" x14ac:dyDescent="0.3">
      <c r="A49" t="s">
        <v>249</v>
      </c>
      <c r="B49" t="s">
        <v>250</v>
      </c>
      <c r="C49" t="s">
        <v>251</v>
      </c>
      <c r="D49" t="s">
        <v>252</v>
      </c>
      <c r="E49" t="s">
        <v>59</v>
      </c>
      <c r="F49" t="s">
        <v>60</v>
      </c>
      <c r="G49" t="s">
        <v>61</v>
      </c>
      <c r="H49" t="s">
        <v>236</v>
      </c>
    </row>
    <row r="50" spans="1:8" x14ac:dyDescent="0.3">
      <c r="A50" t="s">
        <v>253</v>
      </c>
      <c r="B50" t="s">
        <v>254</v>
      </c>
      <c r="C50" t="s">
        <v>255</v>
      </c>
      <c r="D50" t="s">
        <v>256</v>
      </c>
      <c r="E50" t="s">
        <v>59</v>
      </c>
      <c r="F50" t="s">
        <v>60</v>
      </c>
      <c r="G50" t="s">
        <v>61</v>
      </c>
      <c r="H50" t="s">
        <v>236</v>
      </c>
    </row>
    <row r="51" spans="1:8" x14ac:dyDescent="0.3">
      <c r="A51" t="s">
        <v>257</v>
      </c>
      <c r="B51" t="s">
        <v>258</v>
      </c>
      <c r="C51" t="s">
        <v>259</v>
      </c>
      <c r="D51" t="s">
        <v>260</v>
      </c>
      <c r="E51" t="s">
        <v>59</v>
      </c>
      <c r="F51" t="s">
        <v>60</v>
      </c>
      <c r="G51" t="s">
        <v>61</v>
      </c>
      <c r="H51" t="s">
        <v>236</v>
      </c>
    </row>
    <row r="52" spans="1:8" x14ac:dyDescent="0.3">
      <c r="A52" t="s">
        <v>261</v>
      </c>
      <c r="B52" t="s">
        <v>262</v>
      </c>
      <c r="C52" t="s">
        <v>263</v>
      </c>
      <c r="D52" t="s">
        <v>264</v>
      </c>
      <c r="E52" t="s">
        <v>59</v>
      </c>
      <c r="F52" t="s">
        <v>60</v>
      </c>
      <c r="G52" t="s">
        <v>61</v>
      </c>
      <c r="H52" t="s">
        <v>236</v>
      </c>
    </row>
    <row r="53" spans="1:8" x14ac:dyDescent="0.3">
      <c r="A53" t="s">
        <v>265</v>
      </c>
      <c r="B53" t="s">
        <v>266</v>
      </c>
      <c r="C53" t="s">
        <v>267</v>
      </c>
      <c r="D53" t="s">
        <v>268</v>
      </c>
      <c r="E53" t="s">
        <v>59</v>
      </c>
      <c r="F53" t="s">
        <v>60</v>
      </c>
      <c r="G53" t="s">
        <v>61</v>
      </c>
      <c r="H53" t="s">
        <v>236</v>
      </c>
    </row>
    <row r="54" spans="1:8" x14ac:dyDescent="0.3">
      <c r="A54" t="s">
        <v>269</v>
      </c>
      <c r="B54" t="s">
        <v>270</v>
      </c>
      <c r="C54" t="s">
        <v>271</v>
      </c>
      <c r="D54" t="s">
        <v>272</v>
      </c>
      <c r="E54" t="s">
        <v>59</v>
      </c>
      <c r="F54" t="s">
        <v>60</v>
      </c>
      <c r="G54" t="s">
        <v>61</v>
      </c>
      <c r="H54" t="s">
        <v>236</v>
      </c>
    </row>
    <row r="55" spans="1:8" x14ac:dyDescent="0.3">
      <c r="A55" t="s">
        <v>273</v>
      </c>
      <c r="B55" t="s">
        <v>274</v>
      </c>
      <c r="C55" t="s">
        <v>275</v>
      </c>
      <c r="D55" t="s">
        <v>276</v>
      </c>
      <c r="E55" t="s">
        <v>59</v>
      </c>
      <c r="F55" t="s">
        <v>60</v>
      </c>
      <c r="G55" t="s">
        <v>61</v>
      </c>
      <c r="H55" t="s">
        <v>236</v>
      </c>
    </row>
    <row r="56" spans="1:8" x14ac:dyDescent="0.3">
      <c r="A56" t="s">
        <v>277</v>
      </c>
      <c r="B56" t="s">
        <v>278</v>
      </c>
      <c r="C56" t="s">
        <v>279</v>
      </c>
      <c r="D56" t="s">
        <v>280</v>
      </c>
      <c r="E56" t="s">
        <v>59</v>
      </c>
      <c r="F56" t="s">
        <v>60</v>
      </c>
      <c r="G56" t="s">
        <v>61</v>
      </c>
      <c r="H56" t="s">
        <v>236</v>
      </c>
    </row>
    <row r="57" spans="1:8" x14ac:dyDescent="0.3">
      <c r="A57" t="s">
        <v>281</v>
      </c>
      <c r="B57" t="s">
        <v>282</v>
      </c>
      <c r="C57" t="s">
        <v>283</v>
      </c>
      <c r="D57" t="s">
        <v>284</v>
      </c>
      <c r="E57" t="s">
        <v>59</v>
      </c>
      <c r="F57" t="s">
        <v>60</v>
      </c>
      <c r="G57" t="s">
        <v>61</v>
      </c>
    </row>
    <row r="58" spans="1:8" x14ac:dyDescent="0.3">
      <c r="A58" t="s">
        <v>285</v>
      </c>
      <c r="B58" t="s">
        <v>286</v>
      </c>
      <c r="C58" t="s">
        <v>287</v>
      </c>
      <c r="D58" t="s">
        <v>288</v>
      </c>
      <c r="E58" t="s">
        <v>59</v>
      </c>
      <c r="F58" t="s">
        <v>60</v>
      </c>
      <c r="G58" t="s">
        <v>61</v>
      </c>
    </row>
    <row r="59" spans="1:8" x14ac:dyDescent="0.3">
      <c r="A59" t="s">
        <v>289</v>
      </c>
      <c r="B59" t="s">
        <v>290</v>
      </c>
      <c r="C59" t="s">
        <v>291</v>
      </c>
      <c r="D59" t="s">
        <v>292</v>
      </c>
      <c r="E59" t="s">
        <v>59</v>
      </c>
      <c r="F59" t="s">
        <v>60</v>
      </c>
      <c r="G59" t="s">
        <v>61</v>
      </c>
    </row>
    <row r="60" spans="1:8" x14ac:dyDescent="0.3">
      <c r="A60" t="s">
        <v>293</v>
      </c>
      <c r="B60" t="s">
        <v>294</v>
      </c>
      <c r="C60" t="s">
        <v>295</v>
      </c>
      <c r="D60" t="s">
        <v>296</v>
      </c>
      <c r="E60" t="s">
        <v>59</v>
      </c>
      <c r="F60" t="s">
        <v>60</v>
      </c>
      <c r="G60" t="s">
        <v>61</v>
      </c>
    </row>
    <row r="61" spans="1:8" x14ac:dyDescent="0.3">
      <c r="A61" t="s">
        <v>297</v>
      </c>
      <c r="B61" t="s">
        <v>298</v>
      </c>
      <c r="C61" t="s">
        <v>299</v>
      </c>
      <c r="D61" t="s">
        <v>300</v>
      </c>
      <c r="E61" t="s">
        <v>59</v>
      </c>
      <c r="F61" t="s">
        <v>60</v>
      </c>
      <c r="G61" t="s">
        <v>61</v>
      </c>
    </row>
    <row r="62" spans="1:8" x14ac:dyDescent="0.3">
      <c r="A62" t="s">
        <v>301</v>
      </c>
      <c r="B62" t="s">
        <v>302</v>
      </c>
      <c r="C62" t="s">
        <v>303</v>
      </c>
      <c r="D62" t="s">
        <v>304</v>
      </c>
      <c r="E62" t="s">
        <v>59</v>
      </c>
      <c r="F62" t="s">
        <v>60</v>
      </c>
      <c r="G62" t="s">
        <v>61</v>
      </c>
    </row>
    <row r="63" spans="1:8" x14ac:dyDescent="0.3">
      <c r="A63" t="s">
        <v>305</v>
      </c>
      <c r="B63" t="s">
        <v>306</v>
      </c>
      <c r="C63" t="s">
        <v>307</v>
      </c>
      <c r="D63" t="s">
        <v>308</v>
      </c>
      <c r="E63" t="s">
        <v>59</v>
      </c>
      <c r="F63" t="s">
        <v>60</v>
      </c>
      <c r="G63" t="s">
        <v>61</v>
      </c>
    </row>
    <row r="64" spans="1:8" x14ac:dyDescent="0.3">
      <c r="A64" t="s">
        <v>309</v>
      </c>
      <c r="B64" t="s">
        <v>310</v>
      </c>
      <c r="C64" t="s">
        <v>311</v>
      </c>
      <c r="D64" t="s">
        <v>312</v>
      </c>
      <c r="E64" t="s">
        <v>59</v>
      </c>
      <c r="F64" t="s">
        <v>60</v>
      </c>
      <c r="G64" t="s">
        <v>61</v>
      </c>
    </row>
    <row r="65" spans="1:8" x14ac:dyDescent="0.3">
      <c r="A65" t="s">
        <v>313</v>
      </c>
      <c r="B65" t="s">
        <v>314</v>
      </c>
      <c r="C65" t="s">
        <v>315</v>
      </c>
      <c r="D65" t="s">
        <v>316</v>
      </c>
      <c r="E65" t="s">
        <v>59</v>
      </c>
      <c r="F65" t="s">
        <v>60</v>
      </c>
      <c r="G65" t="s">
        <v>61</v>
      </c>
    </row>
    <row r="66" spans="1:8" x14ac:dyDescent="0.3">
      <c r="A66" t="s">
        <v>317</v>
      </c>
      <c r="B66" t="s">
        <v>318</v>
      </c>
      <c r="C66" t="s">
        <v>319</v>
      </c>
      <c r="D66" t="s">
        <v>320</v>
      </c>
      <c r="E66" t="s">
        <v>59</v>
      </c>
      <c r="F66" t="s">
        <v>60</v>
      </c>
      <c r="G66" t="s">
        <v>61</v>
      </c>
    </row>
    <row r="67" spans="1:8" x14ac:dyDescent="0.3">
      <c r="A67" t="s">
        <v>321</v>
      </c>
      <c r="B67" t="s">
        <v>322</v>
      </c>
      <c r="C67" t="s">
        <v>323</v>
      </c>
      <c r="D67" t="s">
        <v>324</v>
      </c>
      <c r="E67" t="s">
        <v>59</v>
      </c>
      <c r="F67" t="s">
        <v>60</v>
      </c>
      <c r="G67" t="s">
        <v>61</v>
      </c>
    </row>
    <row r="68" spans="1:8" x14ac:dyDescent="0.3">
      <c r="A68" t="s">
        <v>325</v>
      </c>
      <c r="B68" t="s">
        <v>326</v>
      </c>
      <c r="C68" t="s">
        <v>327</v>
      </c>
      <c r="D68" t="s">
        <v>328</v>
      </c>
      <c r="E68" t="s">
        <v>59</v>
      </c>
      <c r="F68" t="s">
        <v>60</v>
      </c>
      <c r="G68" t="s">
        <v>61</v>
      </c>
    </row>
    <row r="69" spans="1:8" x14ac:dyDescent="0.3">
      <c r="A69" t="s">
        <v>329</v>
      </c>
      <c r="B69" t="s">
        <v>330</v>
      </c>
      <c r="C69" t="s">
        <v>331</v>
      </c>
      <c r="D69" s="2" t="s">
        <v>332</v>
      </c>
      <c r="E69" t="s">
        <v>333</v>
      </c>
      <c r="F69" t="s">
        <v>334</v>
      </c>
      <c r="G69" t="s">
        <v>335</v>
      </c>
      <c r="H69" t="s">
        <v>336</v>
      </c>
    </row>
    <row r="70" spans="1:8" x14ac:dyDescent="0.3">
      <c r="A70" t="s">
        <v>337</v>
      </c>
      <c r="B70" t="s">
        <v>338</v>
      </c>
      <c r="C70" t="s">
        <v>339</v>
      </c>
      <c r="D70" s="2" t="s">
        <v>340</v>
      </c>
      <c r="E70" t="s">
        <v>341</v>
      </c>
      <c r="F70" t="s">
        <v>334</v>
      </c>
      <c r="G70" t="s">
        <v>335</v>
      </c>
      <c r="H70" t="s">
        <v>336</v>
      </c>
    </row>
    <row r="71" spans="1:8" x14ac:dyDescent="0.3">
      <c r="A71" t="s">
        <v>342</v>
      </c>
      <c r="B71" t="s">
        <v>343</v>
      </c>
      <c r="C71" t="s">
        <v>344</v>
      </c>
      <c r="D71" s="2" t="s">
        <v>345</v>
      </c>
      <c r="E71" t="s">
        <v>346</v>
      </c>
      <c r="F71" t="s">
        <v>334</v>
      </c>
      <c r="G71" t="s">
        <v>335</v>
      </c>
      <c r="H71" t="s">
        <v>336</v>
      </c>
    </row>
    <row r="72" spans="1:8" x14ac:dyDescent="0.3">
      <c r="A72" t="s">
        <v>347</v>
      </c>
      <c r="B72" t="s">
        <v>348</v>
      </c>
      <c r="C72" t="s">
        <v>349</v>
      </c>
      <c r="D72" s="2" t="s">
        <v>350</v>
      </c>
      <c r="E72" t="s">
        <v>346</v>
      </c>
      <c r="F72" t="s">
        <v>334</v>
      </c>
      <c r="G72" t="s">
        <v>335</v>
      </c>
      <c r="H72" t="s">
        <v>336</v>
      </c>
    </row>
    <row r="73" spans="1:8" x14ac:dyDescent="0.3">
      <c r="A73" t="s">
        <v>351</v>
      </c>
      <c r="B73" t="s">
        <v>352</v>
      </c>
      <c r="C73" t="s">
        <v>353</v>
      </c>
      <c r="D73" s="2" t="s">
        <v>354</v>
      </c>
      <c r="E73" t="s">
        <v>355</v>
      </c>
      <c r="F73" t="s">
        <v>334</v>
      </c>
      <c r="G73" t="s">
        <v>335</v>
      </c>
      <c r="H73" t="s">
        <v>336</v>
      </c>
    </row>
    <row r="74" spans="1:8" x14ac:dyDescent="0.3">
      <c r="A74" t="s">
        <v>356</v>
      </c>
      <c r="B74" t="s">
        <v>357</v>
      </c>
      <c r="C74" t="s">
        <v>358</v>
      </c>
      <c r="D74" s="2" t="s">
        <v>359</v>
      </c>
      <c r="E74" t="s">
        <v>355</v>
      </c>
      <c r="F74" t="s">
        <v>334</v>
      </c>
      <c r="G74" t="s">
        <v>335</v>
      </c>
      <c r="H74" t="s">
        <v>336</v>
      </c>
    </row>
    <row r="75" spans="1:8" x14ac:dyDescent="0.3">
      <c r="A75" t="s">
        <v>360</v>
      </c>
      <c r="B75" t="s">
        <v>361</v>
      </c>
      <c r="C75" t="s">
        <v>362</v>
      </c>
      <c r="D75" s="2" t="s">
        <v>363</v>
      </c>
      <c r="E75" t="s">
        <v>346</v>
      </c>
      <c r="F75" t="s">
        <v>334</v>
      </c>
      <c r="G75" t="s">
        <v>335</v>
      </c>
      <c r="H75" t="s">
        <v>336</v>
      </c>
    </row>
    <row r="76" spans="1:8" x14ac:dyDescent="0.3">
      <c r="A76" t="s">
        <v>364</v>
      </c>
      <c r="B76" t="s">
        <v>365</v>
      </c>
      <c r="C76" t="s">
        <v>366</v>
      </c>
      <c r="D76" s="2" t="s">
        <v>367</v>
      </c>
      <c r="E76" t="s">
        <v>368</v>
      </c>
      <c r="F76" t="s">
        <v>334</v>
      </c>
      <c r="G76" t="s">
        <v>335</v>
      </c>
      <c r="H76" t="s">
        <v>336</v>
      </c>
    </row>
    <row r="77" spans="1:8" x14ac:dyDescent="0.3">
      <c r="A77" t="s">
        <v>369</v>
      </c>
      <c r="B77" t="s">
        <v>370</v>
      </c>
      <c r="C77" t="s">
        <v>371</v>
      </c>
      <c r="D77" s="2" t="s">
        <v>372</v>
      </c>
      <c r="E77" t="s">
        <v>341</v>
      </c>
      <c r="F77" t="s">
        <v>334</v>
      </c>
      <c r="G77" t="s">
        <v>335</v>
      </c>
      <c r="H77" t="s">
        <v>336</v>
      </c>
    </row>
    <row r="78" spans="1:8" x14ac:dyDescent="0.3">
      <c r="A78" t="s">
        <v>373</v>
      </c>
      <c r="B78" t="s">
        <v>374</v>
      </c>
      <c r="C78" t="s">
        <v>375</v>
      </c>
      <c r="D78" s="2" t="s">
        <v>376</v>
      </c>
      <c r="E78" t="s">
        <v>377</v>
      </c>
      <c r="F78" t="s">
        <v>334</v>
      </c>
      <c r="G78" t="s">
        <v>335</v>
      </c>
      <c r="H78" t="s">
        <v>336</v>
      </c>
    </row>
    <row r="79" spans="1:8" x14ac:dyDescent="0.3">
      <c r="A79" t="s">
        <v>378</v>
      </c>
      <c r="B79" t="s">
        <v>379</v>
      </c>
      <c r="C79" t="s">
        <v>380</v>
      </c>
      <c r="D79" s="2" t="s">
        <v>381</v>
      </c>
      <c r="E79" t="s">
        <v>346</v>
      </c>
      <c r="F79" t="s">
        <v>334</v>
      </c>
      <c r="G79" t="s">
        <v>335</v>
      </c>
      <c r="H79" t="s">
        <v>336</v>
      </c>
    </row>
    <row r="80" spans="1:8" x14ac:dyDescent="0.3">
      <c r="A80" t="s">
        <v>382</v>
      </c>
      <c r="B80" t="s">
        <v>383</v>
      </c>
      <c r="C80" t="s">
        <v>384</v>
      </c>
      <c r="D80" s="2" t="s">
        <v>385</v>
      </c>
      <c r="E80" t="s">
        <v>386</v>
      </c>
      <c r="F80" t="s">
        <v>334</v>
      </c>
      <c r="G80" t="s">
        <v>335</v>
      </c>
      <c r="H80" t="s">
        <v>336</v>
      </c>
    </row>
    <row r="81" spans="1:8" x14ac:dyDescent="0.3">
      <c r="A81" t="s">
        <v>387</v>
      </c>
      <c r="B81" t="s">
        <v>388</v>
      </c>
      <c r="C81" t="s">
        <v>389</v>
      </c>
      <c r="D81" s="2" t="s">
        <v>390</v>
      </c>
      <c r="E81" t="s">
        <v>391</v>
      </c>
      <c r="F81" t="s">
        <v>334</v>
      </c>
      <c r="G81" t="s">
        <v>335</v>
      </c>
      <c r="H81" t="s">
        <v>336</v>
      </c>
    </row>
    <row r="82" spans="1:8" x14ac:dyDescent="0.3">
      <c r="A82" t="s">
        <v>392</v>
      </c>
      <c r="B82" t="s">
        <v>393</v>
      </c>
      <c r="C82" t="s">
        <v>394</v>
      </c>
      <c r="D82" s="2" t="s">
        <v>395</v>
      </c>
      <c r="E82" t="s">
        <v>346</v>
      </c>
      <c r="F82" t="s">
        <v>334</v>
      </c>
      <c r="G82" t="s">
        <v>335</v>
      </c>
      <c r="H82" t="s">
        <v>336</v>
      </c>
    </row>
    <row r="83" spans="1:8" x14ac:dyDescent="0.3">
      <c r="A83" t="s">
        <v>396</v>
      </c>
      <c r="B83" t="s">
        <v>397</v>
      </c>
      <c r="C83" t="s">
        <v>398</v>
      </c>
      <c r="D83" s="2" t="s">
        <v>399</v>
      </c>
      <c r="E83" t="s">
        <v>346</v>
      </c>
      <c r="F83" t="s">
        <v>334</v>
      </c>
      <c r="G83" t="s">
        <v>335</v>
      </c>
      <c r="H83" t="s">
        <v>336</v>
      </c>
    </row>
    <row r="84" spans="1:8" x14ac:dyDescent="0.3">
      <c r="A84" t="s">
        <v>400</v>
      </c>
      <c r="B84" t="s">
        <v>401</v>
      </c>
      <c r="C84" t="s">
        <v>402</v>
      </c>
      <c r="D84" s="2" t="s">
        <v>403</v>
      </c>
      <c r="E84" t="s">
        <v>355</v>
      </c>
      <c r="F84" t="s">
        <v>334</v>
      </c>
      <c r="G84" t="s">
        <v>335</v>
      </c>
      <c r="H84" t="s">
        <v>336</v>
      </c>
    </row>
    <row r="85" spans="1:8" x14ac:dyDescent="0.3">
      <c r="A85" t="s">
        <v>404</v>
      </c>
      <c r="B85" t="s">
        <v>405</v>
      </c>
      <c r="C85" t="s">
        <v>406</v>
      </c>
      <c r="D85" s="2" t="s">
        <v>407</v>
      </c>
      <c r="E85" t="s">
        <v>341</v>
      </c>
      <c r="F85" t="s">
        <v>334</v>
      </c>
      <c r="G85" t="s">
        <v>335</v>
      </c>
      <c r="H85" t="s">
        <v>336</v>
      </c>
    </row>
    <row r="86" spans="1:8" x14ac:dyDescent="0.3">
      <c r="A86" t="s">
        <v>408</v>
      </c>
      <c r="B86" t="s">
        <v>409</v>
      </c>
      <c r="C86" t="s">
        <v>410</v>
      </c>
      <c r="D86" s="2" t="s">
        <v>411</v>
      </c>
      <c r="E86" t="s">
        <v>346</v>
      </c>
      <c r="F86" t="s">
        <v>334</v>
      </c>
      <c r="G86" t="s">
        <v>335</v>
      </c>
      <c r="H86" t="s">
        <v>336</v>
      </c>
    </row>
    <row r="87" spans="1:8" x14ac:dyDescent="0.3">
      <c r="A87" t="s">
        <v>412</v>
      </c>
      <c r="B87" t="s">
        <v>413</v>
      </c>
      <c r="C87" t="s">
        <v>414</v>
      </c>
      <c r="D87" s="2" t="s">
        <v>415</v>
      </c>
      <c r="E87" t="s">
        <v>346</v>
      </c>
      <c r="F87" t="s">
        <v>334</v>
      </c>
      <c r="G87" t="s">
        <v>335</v>
      </c>
      <c r="H87" t="s">
        <v>336</v>
      </c>
    </row>
    <row r="88" spans="1:8" x14ac:dyDescent="0.3">
      <c r="A88" t="s">
        <v>416</v>
      </c>
      <c r="B88" t="s">
        <v>417</v>
      </c>
      <c r="C88" t="s">
        <v>418</v>
      </c>
      <c r="D88" s="2" t="s">
        <v>419</v>
      </c>
      <c r="E88" t="s">
        <v>355</v>
      </c>
      <c r="F88" t="s">
        <v>334</v>
      </c>
      <c r="G88" t="s">
        <v>335</v>
      </c>
      <c r="H88" t="s">
        <v>336</v>
      </c>
    </row>
    <row r="89" spans="1:8" x14ac:dyDescent="0.3">
      <c r="A89" t="s">
        <v>420</v>
      </c>
      <c r="B89" t="s">
        <v>421</v>
      </c>
      <c r="C89" t="s">
        <v>422</v>
      </c>
      <c r="D89" s="2" t="s">
        <v>423</v>
      </c>
      <c r="E89" t="s">
        <v>355</v>
      </c>
      <c r="F89" t="s">
        <v>334</v>
      </c>
      <c r="G89" t="s">
        <v>335</v>
      </c>
      <c r="H89" t="s">
        <v>336</v>
      </c>
    </row>
    <row r="90" spans="1:8" x14ac:dyDescent="0.3">
      <c r="A90" t="s">
        <v>424</v>
      </c>
      <c r="B90" t="s">
        <v>425</v>
      </c>
      <c r="C90" t="s">
        <v>426</v>
      </c>
      <c r="D90" s="2" t="s">
        <v>427</v>
      </c>
      <c r="E90" t="s">
        <v>346</v>
      </c>
      <c r="F90" t="s">
        <v>334</v>
      </c>
      <c r="G90" t="s">
        <v>335</v>
      </c>
      <c r="H90" t="s">
        <v>336</v>
      </c>
    </row>
    <row r="91" spans="1:8" x14ac:dyDescent="0.3">
      <c r="A91" t="s">
        <v>428</v>
      </c>
      <c r="B91" t="s">
        <v>429</v>
      </c>
      <c r="C91" t="s">
        <v>430</v>
      </c>
      <c r="D91" s="2" t="s">
        <v>431</v>
      </c>
      <c r="E91" t="s">
        <v>368</v>
      </c>
      <c r="F91" t="s">
        <v>334</v>
      </c>
      <c r="G91" t="s">
        <v>335</v>
      </c>
      <c r="H91" t="s">
        <v>336</v>
      </c>
    </row>
    <row r="92" spans="1:8" x14ac:dyDescent="0.3">
      <c r="A92" t="s">
        <v>432</v>
      </c>
      <c r="B92" t="s">
        <v>433</v>
      </c>
      <c r="C92" t="s">
        <v>434</v>
      </c>
      <c r="D92" s="2" t="s">
        <v>435</v>
      </c>
      <c r="E92" t="s">
        <v>341</v>
      </c>
      <c r="F92" t="s">
        <v>334</v>
      </c>
      <c r="G92" t="s">
        <v>335</v>
      </c>
      <c r="H92" t="s">
        <v>336</v>
      </c>
    </row>
    <row r="93" spans="1:8" x14ac:dyDescent="0.3">
      <c r="A93" t="s">
        <v>436</v>
      </c>
      <c r="B93" t="s">
        <v>437</v>
      </c>
      <c r="C93" t="s">
        <v>438</v>
      </c>
      <c r="D93" s="2" t="s">
        <v>439</v>
      </c>
      <c r="E93" t="s">
        <v>377</v>
      </c>
      <c r="F93" t="s">
        <v>334</v>
      </c>
      <c r="G93" t="s">
        <v>335</v>
      </c>
      <c r="H93" t="s">
        <v>336</v>
      </c>
    </row>
    <row r="94" spans="1:8" x14ac:dyDescent="0.3">
      <c r="A94" t="s">
        <v>440</v>
      </c>
      <c r="B94" t="s">
        <v>441</v>
      </c>
      <c r="C94" t="s">
        <v>442</v>
      </c>
      <c r="D94" s="2" t="s">
        <v>443</v>
      </c>
      <c r="E94" t="s">
        <v>346</v>
      </c>
      <c r="F94" t="s">
        <v>334</v>
      </c>
      <c r="G94" t="s">
        <v>335</v>
      </c>
      <c r="H94" t="s">
        <v>336</v>
      </c>
    </row>
    <row r="95" spans="1:8" x14ac:dyDescent="0.3">
      <c r="A95" t="s">
        <v>444</v>
      </c>
      <c r="B95" t="s">
        <v>445</v>
      </c>
      <c r="C95" t="s">
        <v>446</v>
      </c>
      <c r="D95" s="2" t="s">
        <v>447</v>
      </c>
      <c r="E95" t="s">
        <v>386</v>
      </c>
      <c r="F95" t="s">
        <v>334</v>
      </c>
      <c r="G95" t="s">
        <v>335</v>
      </c>
      <c r="H95" t="s">
        <v>336</v>
      </c>
    </row>
    <row r="96" spans="1:8" x14ac:dyDescent="0.3">
      <c r="A96" t="s">
        <v>448</v>
      </c>
      <c r="B96" t="s">
        <v>449</v>
      </c>
      <c r="C96" t="s">
        <v>450</v>
      </c>
      <c r="D96" s="2" t="s">
        <v>451</v>
      </c>
      <c r="E96" t="s">
        <v>391</v>
      </c>
      <c r="F96" t="s">
        <v>334</v>
      </c>
      <c r="G96" t="s">
        <v>335</v>
      </c>
      <c r="H96" t="s">
        <v>336</v>
      </c>
    </row>
    <row r="97" spans="1:8" x14ac:dyDescent="0.3">
      <c r="A97" t="s">
        <v>452</v>
      </c>
      <c r="B97" t="s">
        <v>453</v>
      </c>
      <c r="C97" t="s">
        <v>454</v>
      </c>
      <c r="D97" s="2" t="s">
        <v>455</v>
      </c>
      <c r="E97" t="s">
        <v>346</v>
      </c>
      <c r="F97" t="s">
        <v>334</v>
      </c>
      <c r="G97" t="s">
        <v>335</v>
      </c>
      <c r="H97" t="s">
        <v>336</v>
      </c>
    </row>
    <row r="98" spans="1:8" x14ac:dyDescent="0.3">
      <c r="A98" t="s">
        <v>456</v>
      </c>
      <c r="B98" t="s">
        <v>457</v>
      </c>
      <c r="C98" t="s">
        <v>458</v>
      </c>
      <c r="D98" s="2" t="s">
        <v>459</v>
      </c>
      <c r="E98" t="s">
        <v>346</v>
      </c>
      <c r="F98" t="s">
        <v>334</v>
      </c>
      <c r="G98" t="s">
        <v>335</v>
      </c>
      <c r="H98" t="s">
        <v>336</v>
      </c>
    </row>
    <row r="99" spans="1:8" x14ac:dyDescent="0.3">
      <c r="A99" t="s">
        <v>460</v>
      </c>
      <c r="B99" t="s">
        <v>461</v>
      </c>
      <c r="C99" t="s">
        <v>462</v>
      </c>
      <c r="D99" s="2" t="s">
        <v>463</v>
      </c>
      <c r="E99" t="s">
        <v>355</v>
      </c>
      <c r="F99" t="s">
        <v>334</v>
      </c>
      <c r="G99" t="s">
        <v>335</v>
      </c>
      <c r="H99" t="s">
        <v>336</v>
      </c>
    </row>
    <row r="100" spans="1:8" x14ac:dyDescent="0.3">
      <c r="A100" t="s">
        <v>464</v>
      </c>
      <c r="B100" t="s">
        <v>465</v>
      </c>
      <c r="C100" t="s">
        <v>466</v>
      </c>
      <c r="D100" s="3" t="s">
        <v>467</v>
      </c>
      <c r="E100" t="s">
        <v>468</v>
      </c>
      <c r="F100" t="s">
        <v>469</v>
      </c>
      <c r="G100" t="s">
        <v>470</v>
      </c>
      <c r="H100" t="s">
        <v>471</v>
      </c>
    </row>
    <row r="101" spans="1:8" x14ac:dyDescent="0.3">
      <c r="A101" t="s">
        <v>472</v>
      </c>
      <c r="B101" t="s">
        <v>473</v>
      </c>
      <c r="C101" t="s">
        <v>474</v>
      </c>
      <c r="D101" s="3" t="s">
        <v>475</v>
      </c>
      <c r="E101" t="s">
        <v>476</v>
      </c>
      <c r="F101" t="s">
        <v>477</v>
      </c>
      <c r="H101" t="s">
        <v>471</v>
      </c>
    </row>
    <row r="102" spans="1:8" x14ac:dyDescent="0.3">
      <c r="A102" t="s">
        <v>478</v>
      </c>
      <c r="B102" t="s">
        <v>479</v>
      </c>
      <c r="C102" t="s">
        <v>480</v>
      </c>
      <c r="D102" s="3" t="s">
        <v>481</v>
      </c>
      <c r="F102" t="s">
        <v>477</v>
      </c>
      <c r="H102" t="s">
        <v>471</v>
      </c>
    </row>
    <row r="103" spans="1:8" x14ac:dyDescent="0.3">
      <c r="A103" t="s">
        <v>482</v>
      </c>
      <c r="B103" t="s">
        <v>483</v>
      </c>
      <c r="C103" t="s">
        <v>484</v>
      </c>
      <c r="D103" s="3" t="s">
        <v>485</v>
      </c>
      <c r="F103" t="s">
        <v>477</v>
      </c>
      <c r="H103" t="s">
        <v>471</v>
      </c>
    </row>
    <row r="104" spans="1:8" x14ac:dyDescent="0.3">
      <c r="A104" t="s">
        <v>486</v>
      </c>
      <c r="B104" t="s">
        <v>487</v>
      </c>
      <c r="C104" t="s">
        <v>488</v>
      </c>
      <c r="D104" s="3" t="s">
        <v>489</v>
      </c>
      <c r="E104" t="s">
        <v>476</v>
      </c>
      <c r="F104" t="s">
        <v>477</v>
      </c>
      <c r="H104" t="s">
        <v>471</v>
      </c>
    </row>
    <row r="105" spans="1:8" x14ac:dyDescent="0.3">
      <c r="A105" t="s">
        <v>934</v>
      </c>
      <c r="B105" t="s">
        <v>935</v>
      </c>
      <c r="C105" t="s">
        <v>936</v>
      </c>
      <c r="D105" t="s">
        <v>887</v>
      </c>
      <c r="E105" t="s">
        <v>937</v>
      </c>
      <c r="F105" t="s">
        <v>938</v>
      </c>
      <c r="G105" t="s">
        <v>939</v>
      </c>
      <c r="H105" t="s">
        <v>61</v>
      </c>
    </row>
    <row r="106" spans="1:8" x14ac:dyDescent="0.3">
      <c r="A106" t="s">
        <v>940</v>
      </c>
      <c r="B106" t="s">
        <v>941</v>
      </c>
      <c r="C106" t="s">
        <v>942</v>
      </c>
      <c r="D106" t="s">
        <v>888</v>
      </c>
      <c r="E106" t="s">
        <v>937</v>
      </c>
      <c r="F106" t="s">
        <v>938</v>
      </c>
      <c r="G106" t="s">
        <v>939</v>
      </c>
      <c r="H106" t="s">
        <v>61</v>
      </c>
    </row>
    <row r="107" spans="1:8" x14ac:dyDescent="0.3">
      <c r="A107" t="s">
        <v>943</v>
      </c>
      <c r="B107" t="s">
        <v>944</v>
      </c>
      <c r="C107" t="s">
        <v>945</v>
      </c>
      <c r="D107" t="s">
        <v>889</v>
      </c>
      <c r="E107" t="s">
        <v>937</v>
      </c>
      <c r="F107" t="s">
        <v>938</v>
      </c>
      <c r="G107" t="s">
        <v>939</v>
      </c>
      <c r="H107" t="s">
        <v>61</v>
      </c>
    </row>
    <row r="108" spans="1:8" x14ac:dyDescent="0.3">
      <c r="A108" t="s">
        <v>946</v>
      </c>
      <c r="B108" t="s">
        <v>947</v>
      </c>
      <c r="C108" t="s">
        <v>948</v>
      </c>
      <c r="D108" t="s">
        <v>890</v>
      </c>
      <c r="E108" t="s">
        <v>937</v>
      </c>
      <c r="F108" t="s">
        <v>938</v>
      </c>
      <c r="G108" t="s">
        <v>939</v>
      </c>
      <c r="H108" t="s">
        <v>61</v>
      </c>
    </row>
    <row r="109" spans="1:8" x14ac:dyDescent="0.3">
      <c r="A109" t="s">
        <v>949</v>
      </c>
      <c r="B109" t="s">
        <v>950</v>
      </c>
      <c r="C109" t="s">
        <v>951</v>
      </c>
      <c r="D109" t="s">
        <v>891</v>
      </c>
      <c r="E109" t="s">
        <v>937</v>
      </c>
      <c r="F109" t="s">
        <v>938</v>
      </c>
      <c r="G109" t="s">
        <v>939</v>
      </c>
      <c r="H109" t="s">
        <v>61</v>
      </c>
    </row>
    <row r="110" spans="1:8" x14ac:dyDescent="0.3">
      <c r="A110" t="s">
        <v>952</v>
      </c>
      <c r="B110" t="s">
        <v>953</v>
      </c>
      <c r="C110" t="s">
        <v>954</v>
      </c>
      <c r="D110" t="s">
        <v>892</v>
      </c>
      <c r="E110" t="s">
        <v>937</v>
      </c>
      <c r="F110" t="s">
        <v>938</v>
      </c>
      <c r="G110" t="s">
        <v>939</v>
      </c>
      <c r="H110" t="s">
        <v>61</v>
      </c>
    </row>
    <row r="111" spans="1:8" x14ac:dyDescent="0.3">
      <c r="A111" t="s">
        <v>955</v>
      </c>
      <c r="B111" t="s">
        <v>956</v>
      </c>
      <c r="C111" t="s">
        <v>957</v>
      </c>
      <c r="D111" t="s">
        <v>893</v>
      </c>
      <c r="E111" t="s">
        <v>937</v>
      </c>
      <c r="F111" t="s">
        <v>938</v>
      </c>
      <c r="G111" t="s">
        <v>939</v>
      </c>
      <c r="H111" t="s">
        <v>61</v>
      </c>
    </row>
    <row r="112" spans="1:8" x14ac:dyDescent="0.3">
      <c r="A112" t="s">
        <v>958</v>
      </c>
      <c r="B112" t="s">
        <v>959</v>
      </c>
      <c r="C112" t="s">
        <v>960</v>
      </c>
      <c r="D112" t="s">
        <v>894</v>
      </c>
      <c r="E112" t="s">
        <v>937</v>
      </c>
      <c r="F112" t="s">
        <v>938</v>
      </c>
      <c r="G112" t="s">
        <v>939</v>
      </c>
      <c r="H112" t="s">
        <v>61</v>
      </c>
    </row>
    <row r="113" spans="1:8" x14ac:dyDescent="0.3">
      <c r="A113" t="s">
        <v>961</v>
      </c>
      <c r="B113" t="s">
        <v>962</v>
      </c>
      <c r="C113" t="s">
        <v>963</v>
      </c>
      <c r="D113" t="s">
        <v>895</v>
      </c>
      <c r="E113" t="s">
        <v>937</v>
      </c>
      <c r="F113" t="s">
        <v>938</v>
      </c>
      <c r="G113" t="s">
        <v>939</v>
      </c>
      <c r="H113" t="s">
        <v>61</v>
      </c>
    </row>
    <row r="114" spans="1:8" x14ac:dyDescent="0.3">
      <c r="A114" t="s">
        <v>964</v>
      </c>
      <c r="B114" t="s">
        <v>965</v>
      </c>
      <c r="C114" t="s">
        <v>966</v>
      </c>
      <c r="D114" t="s">
        <v>896</v>
      </c>
      <c r="E114" t="s">
        <v>937</v>
      </c>
      <c r="F114" t="s">
        <v>938</v>
      </c>
      <c r="G114" t="s">
        <v>939</v>
      </c>
      <c r="H114" t="s">
        <v>61</v>
      </c>
    </row>
    <row r="115" spans="1:8" x14ac:dyDescent="0.3">
      <c r="A115" t="s">
        <v>967</v>
      </c>
      <c r="B115" t="s">
        <v>968</v>
      </c>
      <c r="C115" t="s">
        <v>969</v>
      </c>
      <c r="D115" t="s">
        <v>897</v>
      </c>
      <c r="E115" t="s">
        <v>937</v>
      </c>
      <c r="F115" t="s">
        <v>938</v>
      </c>
      <c r="G115" t="s">
        <v>939</v>
      </c>
      <c r="H115" t="s">
        <v>61</v>
      </c>
    </row>
    <row r="116" spans="1:8" x14ac:dyDescent="0.3">
      <c r="A116" t="s">
        <v>970</v>
      </c>
      <c r="B116" t="s">
        <v>971</v>
      </c>
      <c r="C116" t="s">
        <v>972</v>
      </c>
      <c r="D116" t="s">
        <v>898</v>
      </c>
      <c r="E116" t="s">
        <v>937</v>
      </c>
      <c r="F116" t="s">
        <v>938</v>
      </c>
      <c r="G116" t="s">
        <v>939</v>
      </c>
      <c r="H116" t="s">
        <v>61</v>
      </c>
    </row>
    <row r="117" spans="1:8" x14ac:dyDescent="0.3">
      <c r="A117" t="s">
        <v>973</v>
      </c>
      <c r="B117" t="s">
        <v>974</v>
      </c>
      <c r="C117" t="s">
        <v>975</v>
      </c>
      <c r="D117" t="s">
        <v>1158</v>
      </c>
      <c r="E117" t="s">
        <v>937</v>
      </c>
      <c r="F117" t="s">
        <v>938</v>
      </c>
      <c r="G117" t="s">
        <v>939</v>
      </c>
      <c r="H117" t="s">
        <v>61</v>
      </c>
    </row>
    <row r="118" spans="1:8" x14ac:dyDescent="0.3">
      <c r="A118" t="s">
        <v>976</v>
      </c>
      <c r="B118" t="s">
        <v>875</v>
      </c>
      <c r="C118" t="s">
        <v>977</v>
      </c>
      <c r="D118" t="s">
        <v>851</v>
      </c>
      <c r="E118" t="s">
        <v>978</v>
      </c>
      <c r="F118" t="s">
        <v>938</v>
      </c>
      <c r="G118" t="s">
        <v>979</v>
      </c>
      <c r="H118" t="s">
        <v>61</v>
      </c>
    </row>
    <row r="119" spans="1:8" x14ac:dyDescent="0.3">
      <c r="A119" t="s">
        <v>980</v>
      </c>
      <c r="B119" t="s">
        <v>876</v>
      </c>
      <c r="C119" t="s">
        <v>981</v>
      </c>
      <c r="D119" t="s">
        <v>852</v>
      </c>
      <c r="E119" t="s">
        <v>978</v>
      </c>
      <c r="F119" t="s">
        <v>938</v>
      </c>
      <c r="G119" t="s">
        <v>979</v>
      </c>
      <c r="H119" t="s">
        <v>61</v>
      </c>
    </row>
    <row r="120" spans="1:8" x14ac:dyDescent="0.3">
      <c r="A120" t="s">
        <v>982</v>
      </c>
      <c r="B120" t="s">
        <v>877</v>
      </c>
      <c r="C120" t="s">
        <v>983</v>
      </c>
      <c r="D120" t="s">
        <v>853</v>
      </c>
      <c r="E120" t="s">
        <v>978</v>
      </c>
      <c r="F120" t="s">
        <v>938</v>
      </c>
      <c r="G120" t="s">
        <v>979</v>
      </c>
      <c r="H120" t="s">
        <v>61</v>
      </c>
    </row>
    <row r="121" spans="1:8" x14ac:dyDescent="0.3">
      <c r="A121" t="s">
        <v>984</v>
      </c>
      <c r="B121" t="s">
        <v>878</v>
      </c>
      <c r="C121" t="s">
        <v>985</v>
      </c>
      <c r="D121" t="s">
        <v>854</v>
      </c>
      <c r="E121" t="s">
        <v>978</v>
      </c>
      <c r="F121" t="s">
        <v>938</v>
      </c>
      <c r="G121" t="s">
        <v>979</v>
      </c>
      <c r="H121" t="s">
        <v>61</v>
      </c>
    </row>
    <row r="122" spans="1:8" x14ac:dyDescent="0.3">
      <c r="A122" t="s">
        <v>986</v>
      </c>
      <c r="B122" t="s">
        <v>879</v>
      </c>
      <c r="C122" t="s">
        <v>987</v>
      </c>
      <c r="D122" t="s">
        <v>855</v>
      </c>
      <c r="E122" t="s">
        <v>978</v>
      </c>
      <c r="F122" t="s">
        <v>938</v>
      </c>
      <c r="G122" t="s">
        <v>979</v>
      </c>
      <c r="H122" t="s">
        <v>61</v>
      </c>
    </row>
    <row r="123" spans="1:8" x14ac:dyDescent="0.3">
      <c r="A123" t="s">
        <v>988</v>
      </c>
      <c r="B123" t="s">
        <v>880</v>
      </c>
      <c r="C123" t="s">
        <v>989</v>
      </c>
      <c r="D123" t="s">
        <v>856</v>
      </c>
      <c r="E123" t="s">
        <v>978</v>
      </c>
      <c r="F123" t="s">
        <v>938</v>
      </c>
      <c r="G123" t="s">
        <v>979</v>
      </c>
      <c r="H123" t="s">
        <v>61</v>
      </c>
    </row>
    <row r="124" spans="1:8" x14ac:dyDescent="0.3">
      <c r="A124" t="s">
        <v>990</v>
      </c>
      <c r="B124" t="s">
        <v>881</v>
      </c>
      <c r="C124" t="s">
        <v>991</v>
      </c>
      <c r="D124" t="s">
        <v>857</v>
      </c>
      <c r="E124" t="s">
        <v>978</v>
      </c>
      <c r="F124" t="s">
        <v>938</v>
      </c>
      <c r="G124" t="s">
        <v>979</v>
      </c>
      <c r="H124" t="s">
        <v>61</v>
      </c>
    </row>
    <row r="125" spans="1:8" x14ac:dyDescent="0.3">
      <c r="A125" t="s">
        <v>992</v>
      </c>
      <c r="B125" t="s">
        <v>882</v>
      </c>
      <c r="C125" t="s">
        <v>993</v>
      </c>
      <c r="D125" t="s">
        <v>858</v>
      </c>
      <c r="E125" t="s">
        <v>978</v>
      </c>
      <c r="F125" t="s">
        <v>938</v>
      </c>
      <c r="G125" t="s">
        <v>979</v>
      </c>
      <c r="H125" t="s">
        <v>61</v>
      </c>
    </row>
    <row r="126" spans="1:8" x14ac:dyDescent="0.3">
      <c r="A126" t="s">
        <v>994</v>
      </c>
      <c r="B126" t="s">
        <v>883</v>
      </c>
      <c r="C126" t="s">
        <v>995</v>
      </c>
      <c r="D126" t="s">
        <v>859</v>
      </c>
      <c r="E126" t="s">
        <v>978</v>
      </c>
      <c r="F126" t="s">
        <v>938</v>
      </c>
      <c r="G126" t="s">
        <v>979</v>
      </c>
      <c r="H126" t="s">
        <v>61</v>
      </c>
    </row>
    <row r="127" spans="1:8" x14ac:dyDescent="0.3">
      <c r="A127" t="s">
        <v>996</v>
      </c>
      <c r="B127" t="s">
        <v>884</v>
      </c>
      <c r="C127" t="s">
        <v>997</v>
      </c>
      <c r="D127" t="s">
        <v>860</v>
      </c>
      <c r="E127" t="s">
        <v>978</v>
      </c>
      <c r="F127" t="s">
        <v>938</v>
      </c>
      <c r="G127" t="s">
        <v>979</v>
      </c>
      <c r="H127" t="s">
        <v>61</v>
      </c>
    </row>
    <row r="128" spans="1:8" x14ac:dyDescent="0.3">
      <c r="A128" t="s">
        <v>998</v>
      </c>
      <c r="B128" t="s">
        <v>885</v>
      </c>
      <c r="C128" t="s">
        <v>999</v>
      </c>
      <c r="D128" t="s">
        <v>861</v>
      </c>
      <c r="E128" t="s">
        <v>978</v>
      </c>
      <c r="F128" t="s">
        <v>938</v>
      </c>
      <c r="G128" t="s">
        <v>979</v>
      </c>
      <c r="H128" t="s">
        <v>61</v>
      </c>
    </row>
    <row r="129" spans="1:8" x14ac:dyDescent="0.3">
      <c r="A129" t="s">
        <v>1000</v>
      </c>
      <c r="B129" t="s">
        <v>886</v>
      </c>
      <c r="C129" t="s">
        <v>1001</v>
      </c>
      <c r="D129" t="s">
        <v>862</v>
      </c>
      <c r="E129" t="s">
        <v>978</v>
      </c>
      <c r="F129" t="s">
        <v>938</v>
      </c>
      <c r="G129" t="s">
        <v>979</v>
      </c>
      <c r="H129" t="s">
        <v>61</v>
      </c>
    </row>
    <row r="130" spans="1:8" x14ac:dyDescent="0.3">
      <c r="A130" t="s">
        <v>1002</v>
      </c>
      <c r="B130" t="s">
        <v>1003</v>
      </c>
      <c r="C130" t="s">
        <v>1002</v>
      </c>
      <c r="D130" t="s">
        <v>1004</v>
      </c>
      <c r="E130" t="s">
        <v>978</v>
      </c>
      <c r="F130" t="s">
        <v>938</v>
      </c>
      <c r="G130" t="s">
        <v>979</v>
      </c>
      <c r="H130" t="s">
        <v>61</v>
      </c>
    </row>
    <row r="131" spans="1:8" x14ac:dyDescent="0.3">
      <c r="A131" t="s">
        <v>1005</v>
      </c>
      <c r="B131" t="s">
        <v>1006</v>
      </c>
      <c r="C131" t="s">
        <v>1007</v>
      </c>
      <c r="D131" t="s">
        <v>1008</v>
      </c>
      <c r="E131" t="s">
        <v>1009</v>
      </c>
      <c r="F131" t="s">
        <v>938</v>
      </c>
      <c r="G131" t="s">
        <v>979</v>
      </c>
      <c r="H131" t="s">
        <v>61</v>
      </c>
    </row>
    <row r="132" spans="1:8" x14ac:dyDescent="0.3">
      <c r="A132" t="s">
        <v>1010</v>
      </c>
      <c r="B132" t="s">
        <v>1011</v>
      </c>
      <c r="C132" t="s">
        <v>1012</v>
      </c>
      <c r="D132" t="s">
        <v>863</v>
      </c>
      <c r="E132" t="s">
        <v>1009</v>
      </c>
      <c r="F132" t="s">
        <v>938</v>
      </c>
      <c r="G132" t="s">
        <v>979</v>
      </c>
      <c r="H132" t="s">
        <v>61</v>
      </c>
    </row>
    <row r="133" spans="1:8" x14ac:dyDescent="0.3">
      <c r="A133" t="s">
        <v>1013</v>
      </c>
      <c r="B133" t="s">
        <v>1014</v>
      </c>
      <c r="C133" t="s">
        <v>1015</v>
      </c>
      <c r="D133" t="s">
        <v>864</v>
      </c>
      <c r="E133" t="s">
        <v>1009</v>
      </c>
      <c r="F133" t="s">
        <v>938</v>
      </c>
      <c r="G133" t="s">
        <v>979</v>
      </c>
      <c r="H133" t="s">
        <v>61</v>
      </c>
    </row>
    <row r="134" spans="1:8" x14ac:dyDescent="0.3">
      <c r="A134" t="s">
        <v>1016</v>
      </c>
      <c r="B134" t="s">
        <v>1017</v>
      </c>
      <c r="C134" t="s">
        <v>1018</v>
      </c>
      <c r="D134" t="s">
        <v>865</v>
      </c>
      <c r="E134" t="s">
        <v>1009</v>
      </c>
      <c r="F134" t="s">
        <v>938</v>
      </c>
      <c r="G134" t="s">
        <v>979</v>
      </c>
      <c r="H134" t="s">
        <v>61</v>
      </c>
    </row>
    <row r="135" spans="1:8" x14ac:dyDescent="0.3">
      <c r="A135" t="s">
        <v>1019</v>
      </c>
      <c r="B135" t="s">
        <v>1020</v>
      </c>
      <c r="C135" t="s">
        <v>1021</v>
      </c>
      <c r="D135" t="s">
        <v>866</v>
      </c>
      <c r="E135" t="s">
        <v>1009</v>
      </c>
      <c r="F135" t="s">
        <v>938</v>
      </c>
      <c r="G135" t="s">
        <v>979</v>
      </c>
      <c r="H135" t="s">
        <v>61</v>
      </c>
    </row>
    <row r="136" spans="1:8" x14ac:dyDescent="0.3">
      <c r="A136" t="s">
        <v>1022</v>
      </c>
      <c r="B136" t="s">
        <v>1023</v>
      </c>
      <c r="C136" t="s">
        <v>1024</v>
      </c>
      <c r="D136" t="s">
        <v>867</v>
      </c>
      <c r="E136" t="s">
        <v>1009</v>
      </c>
      <c r="F136" t="s">
        <v>938</v>
      </c>
      <c r="G136" t="s">
        <v>979</v>
      </c>
      <c r="H136" t="s">
        <v>61</v>
      </c>
    </row>
    <row r="137" spans="1:8" x14ac:dyDescent="0.3">
      <c r="A137" t="s">
        <v>1025</v>
      </c>
      <c r="B137" t="s">
        <v>1026</v>
      </c>
      <c r="C137" t="s">
        <v>1027</v>
      </c>
      <c r="D137" t="s">
        <v>868</v>
      </c>
      <c r="E137" t="s">
        <v>1009</v>
      </c>
      <c r="F137" t="s">
        <v>938</v>
      </c>
      <c r="G137" t="s">
        <v>979</v>
      </c>
      <c r="H137" t="s">
        <v>61</v>
      </c>
    </row>
    <row r="138" spans="1:8" x14ac:dyDescent="0.3">
      <c r="A138" t="s">
        <v>1028</v>
      </c>
      <c r="B138" t="s">
        <v>1029</v>
      </c>
      <c r="C138" t="s">
        <v>1030</v>
      </c>
      <c r="D138" t="s">
        <v>869</v>
      </c>
      <c r="E138" t="s">
        <v>1009</v>
      </c>
      <c r="F138" t="s">
        <v>938</v>
      </c>
      <c r="G138" t="s">
        <v>979</v>
      </c>
      <c r="H138" t="s">
        <v>61</v>
      </c>
    </row>
    <row r="139" spans="1:8" x14ac:dyDescent="0.3">
      <c r="A139" t="s">
        <v>1031</v>
      </c>
      <c r="B139" t="s">
        <v>1032</v>
      </c>
      <c r="C139" t="s">
        <v>1033</v>
      </c>
      <c r="D139" t="s">
        <v>870</v>
      </c>
      <c r="E139" t="s">
        <v>1009</v>
      </c>
      <c r="F139" t="s">
        <v>938</v>
      </c>
      <c r="G139" t="s">
        <v>979</v>
      </c>
      <c r="H139" t="s">
        <v>61</v>
      </c>
    </row>
    <row r="140" spans="1:8" x14ac:dyDescent="0.3">
      <c r="A140" t="s">
        <v>1034</v>
      </c>
      <c r="B140" t="s">
        <v>1035</v>
      </c>
      <c r="C140" t="s">
        <v>1036</v>
      </c>
      <c r="D140" t="s">
        <v>871</v>
      </c>
      <c r="E140" t="s">
        <v>1009</v>
      </c>
      <c r="F140" t="s">
        <v>938</v>
      </c>
      <c r="G140" t="s">
        <v>979</v>
      </c>
      <c r="H140" t="s">
        <v>61</v>
      </c>
    </row>
    <row r="141" spans="1:8" x14ac:dyDescent="0.3">
      <c r="A141" t="s">
        <v>1037</v>
      </c>
      <c r="B141" t="s">
        <v>1038</v>
      </c>
      <c r="C141" t="s">
        <v>1039</v>
      </c>
      <c r="D141" t="s">
        <v>872</v>
      </c>
      <c r="E141" t="s">
        <v>1009</v>
      </c>
      <c r="F141" t="s">
        <v>938</v>
      </c>
      <c r="G141" t="s">
        <v>979</v>
      </c>
      <c r="H141" t="s">
        <v>61</v>
      </c>
    </row>
    <row r="142" spans="1:8" x14ac:dyDescent="0.3">
      <c r="A142" t="s">
        <v>1040</v>
      </c>
      <c r="B142" t="s">
        <v>1041</v>
      </c>
      <c r="C142" t="s">
        <v>1042</v>
      </c>
      <c r="D142" t="s">
        <v>873</v>
      </c>
      <c r="E142" t="s">
        <v>1009</v>
      </c>
      <c r="F142" t="s">
        <v>938</v>
      </c>
      <c r="G142" t="s">
        <v>979</v>
      </c>
      <c r="H142" t="s">
        <v>61</v>
      </c>
    </row>
    <row r="143" spans="1:8" x14ac:dyDescent="0.3">
      <c r="A143" t="s">
        <v>1043</v>
      </c>
      <c r="B143" t="s">
        <v>1044</v>
      </c>
      <c r="C143" t="s">
        <v>1043</v>
      </c>
      <c r="D143" t="s">
        <v>1045</v>
      </c>
      <c r="E143" t="s">
        <v>1009</v>
      </c>
      <c r="F143" t="s">
        <v>938</v>
      </c>
      <c r="G143" t="s">
        <v>979</v>
      </c>
      <c r="H143" t="s">
        <v>61</v>
      </c>
    </row>
    <row r="144" spans="1:8" x14ac:dyDescent="0.3">
      <c r="A144" t="s">
        <v>1046</v>
      </c>
      <c r="B144" t="s">
        <v>1047</v>
      </c>
      <c r="C144" t="s">
        <v>1048</v>
      </c>
      <c r="D144" t="s">
        <v>899</v>
      </c>
      <c r="E144" t="s">
        <v>341</v>
      </c>
      <c r="F144" t="s">
        <v>1049</v>
      </c>
      <c r="G144" t="s">
        <v>1050</v>
      </c>
      <c r="H144" t="s">
        <v>1051</v>
      </c>
    </row>
    <row r="145" spans="1:8" x14ac:dyDescent="0.3">
      <c r="A145" t="s">
        <v>1052</v>
      </c>
      <c r="B145" t="s">
        <v>1053</v>
      </c>
      <c r="C145" t="s">
        <v>1054</v>
      </c>
      <c r="D145" t="s">
        <v>900</v>
      </c>
      <c r="E145" t="s">
        <v>341</v>
      </c>
      <c r="F145" t="s">
        <v>1049</v>
      </c>
      <c r="G145" t="s">
        <v>1050</v>
      </c>
      <c r="H145" t="s">
        <v>1051</v>
      </c>
    </row>
    <row r="146" spans="1:8" x14ac:dyDescent="0.3">
      <c r="A146" t="s">
        <v>1055</v>
      </c>
      <c r="B146" t="s">
        <v>1056</v>
      </c>
      <c r="C146" t="s">
        <v>1057</v>
      </c>
      <c r="D146" t="s">
        <v>901</v>
      </c>
      <c r="E146" t="s">
        <v>341</v>
      </c>
      <c r="F146" t="s">
        <v>1049</v>
      </c>
      <c r="G146" t="s">
        <v>1050</v>
      </c>
      <c r="H146" t="s">
        <v>1051</v>
      </c>
    </row>
    <row r="147" spans="1:8" x14ac:dyDescent="0.3">
      <c r="A147" t="s">
        <v>1058</v>
      </c>
      <c r="B147" t="s">
        <v>1059</v>
      </c>
      <c r="C147" t="s">
        <v>1060</v>
      </c>
      <c r="D147" t="s">
        <v>902</v>
      </c>
      <c r="E147" t="s">
        <v>341</v>
      </c>
      <c r="F147" t="s">
        <v>1049</v>
      </c>
      <c r="G147" t="s">
        <v>1050</v>
      </c>
      <c r="H147" t="s">
        <v>1051</v>
      </c>
    </row>
    <row r="148" spans="1:8" x14ac:dyDescent="0.3">
      <c r="A148" t="s">
        <v>1061</v>
      </c>
      <c r="B148" t="s">
        <v>1062</v>
      </c>
      <c r="C148" t="s">
        <v>1063</v>
      </c>
      <c r="D148" t="s">
        <v>903</v>
      </c>
      <c r="E148" t="s">
        <v>341</v>
      </c>
      <c r="F148" t="s">
        <v>1049</v>
      </c>
      <c r="G148" t="s">
        <v>1050</v>
      </c>
      <c r="H148" t="s">
        <v>1051</v>
      </c>
    </row>
    <row r="149" spans="1:8" x14ac:dyDescent="0.3">
      <c r="A149" t="s">
        <v>1064</v>
      </c>
      <c r="B149" t="s">
        <v>1065</v>
      </c>
      <c r="C149" t="s">
        <v>1066</v>
      </c>
      <c r="D149" t="s">
        <v>904</v>
      </c>
      <c r="E149" t="s">
        <v>341</v>
      </c>
      <c r="F149" t="s">
        <v>1049</v>
      </c>
      <c r="G149" t="s">
        <v>1050</v>
      </c>
      <c r="H149" t="s">
        <v>1051</v>
      </c>
    </row>
    <row r="150" spans="1:8" x14ac:dyDescent="0.3">
      <c r="A150" t="s">
        <v>1067</v>
      </c>
      <c r="B150" t="s">
        <v>1068</v>
      </c>
      <c r="C150" t="s">
        <v>1069</v>
      </c>
      <c r="D150" t="s">
        <v>905</v>
      </c>
      <c r="E150" t="s">
        <v>341</v>
      </c>
      <c r="F150" t="s">
        <v>1049</v>
      </c>
      <c r="G150" t="s">
        <v>1050</v>
      </c>
      <c r="H150" t="s">
        <v>1051</v>
      </c>
    </row>
    <row r="151" spans="1:8" x14ac:dyDescent="0.3">
      <c r="A151" t="s">
        <v>1070</v>
      </c>
      <c r="B151" t="s">
        <v>1071</v>
      </c>
      <c r="C151" t="s">
        <v>1072</v>
      </c>
      <c r="D151" t="s">
        <v>906</v>
      </c>
      <c r="E151" t="s">
        <v>341</v>
      </c>
      <c r="F151" t="s">
        <v>1049</v>
      </c>
      <c r="G151" t="s">
        <v>1050</v>
      </c>
      <c r="H151" t="s">
        <v>1051</v>
      </c>
    </row>
    <row r="152" spans="1:8" x14ac:dyDescent="0.3">
      <c r="A152" t="s">
        <v>1073</v>
      </c>
      <c r="B152" t="s">
        <v>1074</v>
      </c>
      <c r="C152" t="s">
        <v>1075</v>
      </c>
      <c r="D152" t="s">
        <v>907</v>
      </c>
      <c r="E152" t="s">
        <v>1076</v>
      </c>
      <c r="F152" t="s">
        <v>1049</v>
      </c>
      <c r="G152" t="s">
        <v>1050</v>
      </c>
      <c r="H152" t="s">
        <v>1051</v>
      </c>
    </row>
    <row r="153" spans="1:8" x14ac:dyDescent="0.3">
      <c r="A153" t="s">
        <v>1077</v>
      </c>
      <c r="B153" t="s">
        <v>1078</v>
      </c>
      <c r="C153" t="s">
        <v>1079</v>
      </c>
      <c r="D153" t="s">
        <v>908</v>
      </c>
      <c r="E153" t="s">
        <v>341</v>
      </c>
      <c r="F153" t="s">
        <v>1049</v>
      </c>
      <c r="G153" t="s">
        <v>1050</v>
      </c>
      <c r="H153" t="s">
        <v>1051</v>
      </c>
    </row>
    <row r="154" spans="1:8" x14ac:dyDescent="0.3">
      <c r="A154" t="s">
        <v>1080</v>
      </c>
      <c r="B154" t="s">
        <v>1081</v>
      </c>
      <c r="C154" t="s">
        <v>1082</v>
      </c>
      <c r="D154" t="s">
        <v>909</v>
      </c>
      <c r="E154" t="s">
        <v>1083</v>
      </c>
      <c r="F154" t="s">
        <v>1049</v>
      </c>
      <c r="G154" t="s">
        <v>1050</v>
      </c>
      <c r="H154" t="s">
        <v>1051</v>
      </c>
    </row>
    <row r="155" spans="1:8" x14ac:dyDescent="0.3">
      <c r="A155" t="s">
        <v>1084</v>
      </c>
      <c r="B155" t="s">
        <v>1085</v>
      </c>
      <c r="C155" t="s">
        <v>1086</v>
      </c>
      <c r="D155" t="s">
        <v>910</v>
      </c>
      <c r="E155" t="s">
        <v>1083</v>
      </c>
      <c r="F155" t="s">
        <v>1049</v>
      </c>
      <c r="G155" t="s">
        <v>1050</v>
      </c>
      <c r="H155" t="s">
        <v>1051</v>
      </c>
    </row>
    <row r="156" spans="1:8" x14ac:dyDescent="0.3">
      <c r="A156" t="s">
        <v>1087</v>
      </c>
      <c r="B156" t="s">
        <v>1088</v>
      </c>
      <c r="C156" t="s">
        <v>1089</v>
      </c>
      <c r="D156" t="s">
        <v>911</v>
      </c>
      <c r="E156" t="s">
        <v>1090</v>
      </c>
      <c r="F156" t="s">
        <v>1049</v>
      </c>
      <c r="G156" t="s">
        <v>1050</v>
      </c>
      <c r="H156" t="s">
        <v>1051</v>
      </c>
    </row>
    <row r="157" spans="1:8" x14ac:dyDescent="0.3">
      <c r="A157" t="s">
        <v>1091</v>
      </c>
      <c r="B157" t="s">
        <v>1092</v>
      </c>
      <c r="C157" t="s">
        <v>1093</v>
      </c>
      <c r="D157" t="s">
        <v>912</v>
      </c>
      <c r="E157" t="s">
        <v>1090</v>
      </c>
      <c r="F157" t="s">
        <v>1049</v>
      </c>
      <c r="G157" t="s">
        <v>1050</v>
      </c>
      <c r="H157" t="s">
        <v>1051</v>
      </c>
    </row>
    <row r="158" spans="1:8" x14ac:dyDescent="0.3">
      <c r="A158" t="s">
        <v>1094</v>
      </c>
      <c r="B158" t="s">
        <v>1095</v>
      </c>
      <c r="C158" t="s">
        <v>1096</v>
      </c>
      <c r="D158" t="s">
        <v>913</v>
      </c>
      <c r="E158" t="s">
        <v>341</v>
      </c>
      <c r="F158" t="s">
        <v>1049</v>
      </c>
      <c r="G158" t="s">
        <v>1050</v>
      </c>
      <c r="H158" t="s">
        <v>1051</v>
      </c>
    </row>
    <row r="159" spans="1:8" x14ac:dyDescent="0.3">
      <c r="A159" t="s">
        <v>1097</v>
      </c>
      <c r="B159" t="s">
        <v>1098</v>
      </c>
      <c r="C159" t="s">
        <v>1099</v>
      </c>
      <c r="D159" t="s">
        <v>914</v>
      </c>
      <c r="E159" t="s">
        <v>341</v>
      </c>
      <c r="F159" t="s">
        <v>1049</v>
      </c>
      <c r="G159" t="s">
        <v>1050</v>
      </c>
      <c r="H159" t="s">
        <v>1051</v>
      </c>
    </row>
    <row r="160" spans="1:8" x14ac:dyDescent="0.3">
      <c r="A160" t="s">
        <v>1100</v>
      </c>
      <c r="B160" t="s">
        <v>1101</v>
      </c>
      <c r="C160" t="s">
        <v>1102</v>
      </c>
      <c r="D160" t="s">
        <v>915</v>
      </c>
      <c r="E160" t="s">
        <v>341</v>
      </c>
      <c r="F160" t="s">
        <v>1049</v>
      </c>
      <c r="G160" t="s">
        <v>1050</v>
      </c>
      <c r="H160" t="s">
        <v>1051</v>
      </c>
    </row>
    <row r="161" spans="1:8" x14ac:dyDescent="0.3">
      <c r="A161" t="s">
        <v>1103</v>
      </c>
      <c r="B161" t="s">
        <v>1104</v>
      </c>
      <c r="C161" t="s">
        <v>1105</v>
      </c>
      <c r="D161" t="s">
        <v>916</v>
      </c>
      <c r="E161" t="s">
        <v>341</v>
      </c>
      <c r="F161" t="s">
        <v>1049</v>
      </c>
      <c r="G161" t="s">
        <v>1050</v>
      </c>
      <c r="H161" t="s">
        <v>1051</v>
      </c>
    </row>
    <row r="162" spans="1:8" x14ac:dyDescent="0.3">
      <c r="A162" t="s">
        <v>1106</v>
      </c>
      <c r="B162" t="s">
        <v>1107</v>
      </c>
      <c r="C162" t="s">
        <v>1108</v>
      </c>
      <c r="D162" t="s">
        <v>917</v>
      </c>
      <c r="E162" t="s">
        <v>1083</v>
      </c>
      <c r="F162" t="s">
        <v>1049</v>
      </c>
      <c r="G162" t="s">
        <v>1050</v>
      </c>
      <c r="H162" t="s">
        <v>1051</v>
      </c>
    </row>
    <row r="163" spans="1:8" x14ac:dyDescent="0.3">
      <c r="A163" t="s">
        <v>1109</v>
      </c>
      <c r="B163" t="s">
        <v>1110</v>
      </c>
      <c r="C163" t="s">
        <v>1111</v>
      </c>
      <c r="D163" t="s">
        <v>918</v>
      </c>
      <c r="E163" t="s">
        <v>1083</v>
      </c>
      <c r="F163" t="s">
        <v>1049</v>
      </c>
      <c r="G163" t="s">
        <v>1050</v>
      </c>
      <c r="H163" t="s">
        <v>1051</v>
      </c>
    </row>
    <row r="164" spans="1:8" x14ac:dyDescent="0.3">
      <c r="A164" t="s">
        <v>1112</v>
      </c>
      <c r="B164" t="s">
        <v>1113</v>
      </c>
      <c r="C164" t="s">
        <v>1114</v>
      </c>
      <c r="D164" t="s">
        <v>919</v>
      </c>
      <c r="E164" t="s">
        <v>1115</v>
      </c>
      <c r="F164" t="s">
        <v>1049</v>
      </c>
      <c r="G164" t="s">
        <v>1050</v>
      </c>
      <c r="H164" t="s">
        <v>1051</v>
      </c>
    </row>
    <row r="165" spans="1:8" x14ac:dyDescent="0.3">
      <c r="A165" t="s">
        <v>1116</v>
      </c>
      <c r="B165" t="s">
        <v>1117</v>
      </c>
      <c r="C165" t="s">
        <v>1118</v>
      </c>
      <c r="D165" t="s">
        <v>920</v>
      </c>
      <c r="E165" t="s">
        <v>1115</v>
      </c>
      <c r="F165" t="s">
        <v>1049</v>
      </c>
      <c r="G165" t="s">
        <v>1050</v>
      </c>
      <c r="H165" t="s">
        <v>1051</v>
      </c>
    </row>
    <row r="166" spans="1:8" x14ac:dyDescent="0.3">
      <c r="A166" t="s">
        <v>1119</v>
      </c>
      <c r="B166" t="s">
        <v>1120</v>
      </c>
      <c r="C166" t="s">
        <v>1121</v>
      </c>
      <c r="D166" t="s">
        <v>921</v>
      </c>
      <c r="E166" t="s">
        <v>1122</v>
      </c>
      <c r="F166" t="s">
        <v>1049</v>
      </c>
      <c r="G166" t="s">
        <v>1050</v>
      </c>
      <c r="H166" t="s">
        <v>1051</v>
      </c>
    </row>
    <row r="167" spans="1:8" x14ac:dyDescent="0.3">
      <c r="A167" t="s">
        <v>1123</v>
      </c>
      <c r="B167" t="s">
        <v>1124</v>
      </c>
      <c r="C167" t="s">
        <v>1121</v>
      </c>
      <c r="D167" t="s">
        <v>922</v>
      </c>
      <c r="E167" t="s">
        <v>1122</v>
      </c>
      <c r="F167" t="s">
        <v>1049</v>
      </c>
      <c r="G167" t="s">
        <v>1050</v>
      </c>
      <c r="H167" t="s">
        <v>1051</v>
      </c>
    </row>
    <row r="168" spans="1:8" x14ac:dyDescent="0.3">
      <c r="A168" t="s">
        <v>1125</v>
      </c>
      <c r="B168" t="s">
        <v>1126</v>
      </c>
      <c r="C168" t="s">
        <v>1127</v>
      </c>
      <c r="D168" t="s">
        <v>923</v>
      </c>
      <c r="E168" t="s">
        <v>1128</v>
      </c>
      <c r="F168" t="s">
        <v>1049</v>
      </c>
      <c r="G168" t="s">
        <v>1050</v>
      </c>
      <c r="H168" t="s">
        <v>1051</v>
      </c>
    </row>
    <row r="169" spans="1:8" x14ac:dyDescent="0.3">
      <c r="A169" t="s">
        <v>1129</v>
      </c>
      <c r="B169" t="s">
        <v>1130</v>
      </c>
      <c r="C169" t="s">
        <v>1131</v>
      </c>
      <c r="D169" t="s">
        <v>924</v>
      </c>
      <c r="E169" t="s">
        <v>1128</v>
      </c>
      <c r="F169" t="s">
        <v>1049</v>
      </c>
      <c r="G169" t="s">
        <v>1050</v>
      </c>
      <c r="H169" t="s">
        <v>1051</v>
      </c>
    </row>
    <row r="170" spans="1:8" x14ac:dyDescent="0.3">
      <c r="A170" t="s">
        <v>1132</v>
      </c>
      <c r="B170" t="s">
        <v>1133</v>
      </c>
      <c r="C170" t="s">
        <v>1134</v>
      </c>
      <c r="D170" t="s">
        <v>925</v>
      </c>
      <c r="E170" t="s">
        <v>1128</v>
      </c>
      <c r="F170" t="s">
        <v>1049</v>
      </c>
      <c r="G170" t="s">
        <v>1050</v>
      </c>
      <c r="H170" t="s">
        <v>1051</v>
      </c>
    </row>
    <row r="171" spans="1:8" x14ac:dyDescent="0.3">
      <c r="A171" t="s">
        <v>1135</v>
      </c>
      <c r="B171" t="s">
        <v>1136</v>
      </c>
      <c r="C171" t="s">
        <v>1137</v>
      </c>
      <c r="D171" t="s">
        <v>926</v>
      </c>
      <c r="E171" t="s">
        <v>1128</v>
      </c>
      <c r="F171" t="s">
        <v>1049</v>
      </c>
      <c r="G171" t="s">
        <v>1050</v>
      </c>
      <c r="H171" t="s">
        <v>1051</v>
      </c>
    </row>
    <row r="172" spans="1:8" x14ac:dyDescent="0.3">
      <c r="A172" t="s">
        <v>1138</v>
      </c>
      <c r="B172" t="s">
        <v>927</v>
      </c>
      <c r="C172" t="s">
        <v>1138</v>
      </c>
      <c r="D172" t="s">
        <v>927</v>
      </c>
      <c r="E172" t="s">
        <v>1139</v>
      </c>
      <c r="F172" t="s">
        <v>1049</v>
      </c>
      <c r="G172" t="s">
        <v>1050</v>
      </c>
      <c r="H172" t="s">
        <v>1051</v>
      </c>
    </row>
    <row r="173" spans="1:8" x14ac:dyDescent="0.3">
      <c r="A173" t="s">
        <v>1140</v>
      </c>
      <c r="B173" t="s">
        <v>1141</v>
      </c>
      <c r="C173" t="s">
        <v>1142</v>
      </c>
      <c r="D173" t="s">
        <v>928</v>
      </c>
      <c r="E173" t="s">
        <v>341</v>
      </c>
      <c r="F173" t="s">
        <v>1049</v>
      </c>
      <c r="G173" t="s">
        <v>1050</v>
      </c>
      <c r="H173" t="s">
        <v>1051</v>
      </c>
    </row>
    <row r="174" spans="1:8" x14ac:dyDescent="0.3">
      <c r="A174" t="s">
        <v>1143</v>
      </c>
      <c r="B174" t="s">
        <v>1144</v>
      </c>
      <c r="C174" t="s">
        <v>1145</v>
      </c>
      <c r="D174" t="s">
        <v>929</v>
      </c>
      <c r="E174" t="s">
        <v>341</v>
      </c>
      <c r="F174" t="s">
        <v>1049</v>
      </c>
      <c r="G174" t="s">
        <v>1050</v>
      </c>
      <c r="H174" t="s">
        <v>1051</v>
      </c>
    </row>
    <row r="175" spans="1:8" x14ac:dyDescent="0.3">
      <c r="A175" t="s">
        <v>1146</v>
      </c>
      <c r="B175" t="s">
        <v>1147</v>
      </c>
      <c r="C175" t="s">
        <v>1148</v>
      </c>
      <c r="D175" t="s">
        <v>930</v>
      </c>
      <c r="E175" t="s">
        <v>341</v>
      </c>
      <c r="F175" t="s">
        <v>1049</v>
      </c>
      <c r="G175" t="s">
        <v>1050</v>
      </c>
      <c r="H175" t="s">
        <v>1051</v>
      </c>
    </row>
    <row r="176" spans="1:8" x14ac:dyDescent="0.3">
      <c r="A176" t="s">
        <v>1149</v>
      </c>
      <c r="B176" t="s">
        <v>1150</v>
      </c>
      <c r="C176" t="s">
        <v>1151</v>
      </c>
      <c r="D176" t="s">
        <v>931</v>
      </c>
      <c r="E176" t="s">
        <v>341</v>
      </c>
      <c r="F176" t="s">
        <v>1049</v>
      </c>
      <c r="G176" t="s">
        <v>1050</v>
      </c>
      <c r="H176" t="s">
        <v>1051</v>
      </c>
    </row>
    <row r="177" spans="1:8" x14ac:dyDescent="0.3">
      <c r="A177" t="s">
        <v>1152</v>
      </c>
      <c r="B177" t="s">
        <v>1153</v>
      </c>
      <c r="C177" t="s">
        <v>1154</v>
      </c>
      <c r="D177" t="s">
        <v>932</v>
      </c>
      <c r="E177" t="s">
        <v>341</v>
      </c>
      <c r="F177" t="s">
        <v>1049</v>
      </c>
      <c r="G177" t="s">
        <v>1050</v>
      </c>
      <c r="H177" t="s">
        <v>1051</v>
      </c>
    </row>
    <row r="178" spans="1:8" x14ac:dyDescent="0.3">
      <c r="A178" t="s">
        <v>1155</v>
      </c>
      <c r="B178" t="s">
        <v>1156</v>
      </c>
      <c r="C178" t="s">
        <v>1157</v>
      </c>
      <c r="D178" t="s">
        <v>933</v>
      </c>
      <c r="E178" t="s">
        <v>341</v>
      </c>
      <c r="F178" t="s">
        <v>1049</v>
      </c>
      <c r="G178" t="s">
        <v>1050</v>
      </c>
      <c r="H178" t="s">
        <v>1051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78"/>
  <sheetViews>
    <sheetView workbookViewId="0">
      <selection activeCell="Q1" sqref="Q1"/>
    </sheetView>
  </sheetViews>
  <sheetFormatPr defaultColWidth="11.5546875" defaultRowHeight="14.4" x14ac:dyDescent="0.3"/>
  <cols>
    <col min="1" max="1" width="21.33203125" style="5" customWidth="1"/>
    <col min="2" max="2" width="21.33203125" customWidth="1"/>
  </cols>
  <sheetData>
    <row r="1" spans="1:20" x14ac:dyDescent="0.3">
      <c r="A1" t="s">
        <v>3</v>
      </c>
      <c r="B1" t="s">
        <v>819</v>
      </c>
      <c r="C1" t="s">
        <v>46</v>
      </c>
      <c r="D1" t="s">
        <v>47</v>
      </c>
      <c r="E1" t="s">
        <v>48</v>
      </c>
      <c r="F1" t="s">
        <v>595</v>
      </c>
      <c r="G1" t="s">
        <v>15</v>
      </c>
      <c r="H1" t="s">
        <v>22</v>
      </c>
      <c r="I1" t="s">
        <v>23</v>
      </c>
      <c r="J1" t="s">
        <v>596</v>
      </c>
      <c r="K1" t="s">
        <v>43</v>
      </c>
      <c r="L1" t="s">
        <v>35</v>
      </c>
      <c r="M1" t="s">
        <v>44</v>
      </c>
      <c r="N1" t="s">
        <v>45</v>
      </c>
      <c r="O1" t="s">
        <v>821</v>
      </c>
      <c r="P1" t="s">
        <v>19</v>
      </c>
      <c r="Q1" t="s">
        <v>42</v>
      </c>
      <c r="R1" t="s">
        <v>836</v>
      </c>
      <c r="S1" t="s">
        <v>837</v>
      </c>
      <c r="T1" t="s">
        <v>838</v>
      </c>
    </row>
    <row r="2" spans="1:20" x14ac:dyDescent="0.3">
      <c r="A2" t="s">
        <v>696</v>
      </c>
      <c r="B2" t="s">
        <v>55</v>
      </c>
      <c r="C2" t="s">
        <v>1</v>
      </c>
      <c r="D2" s="4" t="s">
        <v>599</v>
      </c>
      <c r="E2" s="4" t="s">
        <v>600</v>
      </c>
      <c r="F2" s="7" t="s">
        <v>601</v>
      </c>
      <c r="G2" s="4" t="s">
        <v>602</v>
      </c>
      <c r="H2" s="4" t="s">
        <v>603</v>
      </c>
      <c r="I2" s="4" t="s">
        <v>604</v>
      </c>
      <c r="J2" s="4" t="s">
        <v>605</v>
      </c>
      <c r="K2" s="4" t="s">
        <v>606</v>
      </c>
      <c r="L2" s="4" t="s">
        <v>607</v>
      </c>
      <c r="M2">
        <v>1E-4</v>
      </c>
      <c r="N2" s="4" t="s">
        <v>608</v>
      </c>
      <c r="O2" t="s">
        <v>25</v>
      </c>
      <c r="P2" t="s">
        <v>829</v>
      </c>
      <c r="Q2" t="s">
        <v>34</v>
      </c>
      <c r="R2" t="s">
        <v>1159</v>
      </c>
      <c r="S2">
        <v>126</v>
      </c>
      <c r="T2">
        <v>2030</v>
      </c>
    </row>
    <row r="3" spans="1:20" x14ac:dyDescent="0.3">
      <c r="A3" t="s">
        <v>659</v>
      </c>
      <c r="B3" t="s">
        <v>103</v>
      </c>
      <c r="C3" t="s">
        <v>24</v>
      </c>
      <c r="D3" s="4" t="s">
        <v>610</v>
      </c>
      <c r="E3" s="4" t="s">
        <v>611</v>
      </c>
      <c r="F3" s="4" t="s">
        <v>612</v>
      </c>
      <c r="G3" s="4" t="s">
        <v>613</v>
      </c>
      <c r="H3" s="4" t="s">
        <v>614</v>
      </c>
      <c r="I3" s="4" t="s">
        <v>615</v>
      </c>
      <c r="J3" s="4" t="s">
        <v>616</v>
      </c>
      <c r="K3" s="4" t="s">
        <v>617</v>
      </c>
      <c r="L3" s="4" t="s">
        <v>618</v>
      </c>
      <c r="M3">
        <v>0.01</v>
      </c>
      <c r="O3" t="s">
        <v>26</v>
      </c>
      <c r="P3" t="s">
        <v>830</v>
      </c>
      <c r="Q3">
        <v>0</v>
      </c>
      <c r="R3" t="s">
        <v>1160</v>
      </c>
      <c r="S3">
        <v>245</v>
      </c>
      <c r="T3">
        <v>2050</v>
      </c>
    </row>
    <row r="4" spans="1:20" x14ac:dyDescent="0.3">
      <c r="A4" t="s">
        <v>697</v>
      </c>
      <c r="B4" t="s">
        <v>107</v>
      </c>
      <c r="E4" s="4" t="s">
        <v>620</v>
      </c>
      <c r="G4" s="4" t="s">
        <v>621</v>
      </c>
      <c r="I4" s="4" t="s">
        <v>622</v>
      </c>
      <c r="J4" s="4" t="s">
        <v>623</v>
      </c>
      <c r="L4" s="4" t="s">
        <v>624</v>
      </c>
      <c r="M4">
        <v>0.05</v>
      </c>
      <c r="O4" t="s">
        <v>27</v>
      </c>
      <c r="P4" t="s">
        <v>831</v>
      </c>
      <c r="Q4">
        <v>0.25</v>
      </c>
      <c r="R4" t="s">
        <v>1161</v>
      </c>
      <c r="S4">
        <v>370</v>
      </c>
      <c r="T4">
        <v>2070</v>
      </c>
    </row>
    <row r="5" spans="1:20" x14ac:dyDescent="0.3">
      <c r="A5" t="s">
        <v>698</v>
      </c>
      <c r="B5" t="s">
        <v>112</v>
      </c>
      <c r="E5" s="4" t="s">
        <v>626</v>
      </c>
      <c r="G5" s="4" t="s">
        <v>627</v>
      </c>
      <c r="J5" s="4" t="s">
        <v>628</v>
      </c>
      <c r="L5" s="4" t="s">
        <v>629</v>
      </c>
      <c r="O5" t="s">
        <v>28</v>
      </c>
      <c r="P5" t="s">
        <v>832</v>
      </c>
      <c r="Q5">
        <v>0.5</v>
      </c>
      <c r="R5" t="s">
        <v>1162</v>
      </c>
      <c r="S5">
        <v>585</v>
      </c>
      <c r="T5">
        <v>2090</v>
      </c>
    </row>
    <row r="6" spans="1:20" x14ac:dyDescent="0.3">
      <c r="A6" t="s">
        <v>598</v>
      </c>
      <c r="B6" t="s">
        <v>116</v>
      </c>
      <c r="G6" t="s">
        <v>874</v>
      </c>
      <c r="J6" s="4" t="s">
        <v>631</v>
      </c>
      <c r="L6" s="4" t="s">
        <v>617</v>
      </c>
      <c r="O6" t="s">
        <v>29</v>
      </c>
      <c r="P6" t="s">
        <v>833</v>
      </c>
      <c r="Q6">
        <v>0.75</v>
      </c>
      <c r="R6" t="s">
        <v>1163</v>
      </c>
    </row>
    <row r="7" spans="1:20" x14ac:dyDescent="0.3">
      <c r="A7" t="s">
        <v>699</v>
      </c>
      <c r="B7" t="s">
        <v>120</v>
      </c>
      <c r="J7" s="4" t="s">
        <v>633</v>
      </c>
      <c r="O7" s="11" t="s">
        <v>822</v>
      </c>
      <c r="Q7">
        <v>1</v>
      </c>
      <c r="R7" t="s">
        <v>1164</v>
      </c>
    </row>
    <row r="8" spans="1:20" x14ac:dyDescent="0.3">
      <c r="A8" t="s">
        <v>643</v>
      </c>
      <c r="B8" t="s">
        <v>124</v>
      </c>
      <c r="J8" s="4" t="s">
        <v>635</v>
      </c>
      <c r="O8" t="s">
        <v>30</v>
      </c>
      <c r="R8" t="s">
        <v>1165</v>
      </c>
    </row>
    <row r="9" spans="1:20" x14ac:dyDescent="0.3">
      <c r="A9" t="s">
        <v>660</v>
      </c>
      <c r="B9" t="s">
        <v>128</v>
      </c>
      <c r="J9" s="4" t="s">
        <v>637</v>
      </c>
      <c r="O9" t="s">
        <v>31</v>
      </c>
      <c r="R9" t="s">
        <v>1166</v>
      </c>
    </row>
    <row r="10" spans="1:20" x14ac:dyDescent="0.3">
      <c r="A10" t="s">
        <v>700</v>
      </c>
      <c r="B10" t="s">
        <v>132</v>
      </c>
      <c r="J10" s="4" t="s">
        <v>639</v>
      </c>
      <c r="O10" t="s">
        <v>32</v>
      </c>
    </row>
    <row r="11" spans="1:20" x14ac:dyDescent="0.3">
      <c r="A11" t="s">
        <v>701</v>
      </c>
      <c r="B11" t="s">
        <v>62</v>
      </c>
      <c r="J11" s="4" t="s">
        <v>641</v>
      </c>
      <c r="O11" t="s">
        <v>33</v>
      </c>
    </row>
    <row r="12" spans="1:20" x14ac:dyDescent="0.3">
      <c r="A12" t="s">
        <v>702</v>
      </c>
      <c r="B12" t="s">
        <v>66</v>
      </c>
    </row>
    <row r="13" spans="1:20" x14ac:dyDescent="0.3">
      <c r="A13" t="s">
        <v>661</v>
      </c>
      <c r="B13" t="s">
        <v>70</v>
      </c>
    </row>
    <row r="14" spans="1:20" x14ac:dyDescent="0.3">
      <c r="A14" t="s">
        <v>662</v>
      </c>
      <c r="B14" t="s">
        <v>75</v>
      </c>
    </row>
    <row r="15" spans="1:20" x14ac:dyDescent="0.3">
      <c r="A15" t="s">
        <v>703</v>
      </c>
      <c r="B15" t="s">
        <v>79</v>
      </c>
    </row>
    <row r="16" spans="1:20" x14ac:dyDescent="0.3">
      <c r="A16" t="s">
        <v>609</v>
      </c>
      <c r="B16" t="s">
        <v>83</v>
      </c>
    </row>
    <row r="17" spans="1:2" x14ac:dyDescent="0.3">
      <c r="A17" t="s">
        <v>663</v>
      </c>
      <c r="B17" t="s">
        <v>87</v>
      </c>
    </row>
    <row r="18" spans="1:2" x14ac:dyDescent="0.3">
      <c r="A18" t="s">
        <v>704</v>
      </c>
      <c r="B18" t="s">
        <v>91</v>
      </c>
    </row>
    <row r="19" spans="1:2" x14ac:dyDescent="0.3">
      <c r="A19" t="s">
        <v>619</v>
      </c>
      <c r="B19" t="s">
        <v>95</v>
      </c>
    </row>
    <row r="20" spans="1:2" x14ac:dyDescent="0.3">
      <c r="A20" t="s">
        <v>664</v>
      </c>
      <c r="B20" t="s">
        <v>99</v>
      </c>
    </row>
    <row r="21" spans="1:2" x14ac:dyDescent="0.3">
      <c r="A21" t="s">
        <v>705</v>
      </c>
      <c r="B21" t="s">
        <v>136</v>
      </c>
    </row>
    <row r="22" spans="1:2" x14ac:dyDescent="0.3">
      <c r="A22" t="s">
        <v>706</v>
      </c>
      <c r="B22" t="s">
        <v>140</v>
      </c>
    </row>
    <row r="23" spans="1:2" x14ac:dyDescent="0.3">
      <c r="A23" t="s">
        <v>708</v>
      </c>
      <c r="B23" t="s">
        <v>144</v>
      </c>
    </row>
    <row r="24" spans="1:2" x14ac:dyDescent="0.3">
      <c r="A24" t="s">
        <v>709</v>
      </c>
      <c r="B24" t="s">
        <v>148</v>
      </c>
    </row>
    <row r="25" spans="1:2" x14ac:dyDescent="0.3">
      <c r="A25" t="s">
        <v>632</v>
      </c>
      <c r="B25" t="s">
        <v>152</v>
      </c>
    </row>
    <row r="26" spans="1:2" x14ac:dyDescent="0.3">
      <c r="A26" t="s">
        <v>707</v>
      </c>
      <c r="B26" t="s">
        <v>156</v>
      </c>
    </row>
    <row r="27" spans="1:2" x14ac:dyDescent="0.3">
      <c r="A27" t="s">
        <v>710</v>
      </c>
      <c r="B27" t="s">
        <v>160</v>
      </c>
    </row>
    <row r="28" spans="1:2" x14ac:dyDescent="0.3">
      <c r="A28" t="s">
        <v>625</v>
      </c>
      <c r="B28" t="s">
        <v>164</v>
      </c>
    </row>
    <row r="29" spans="1:2" x14ac:dyDescent="0.3">
      <c r="A29" t="s">
        <v>644</v>
      </c>
      <c r="B29" t="s">
        <v>168</v>
      </c>
    </row>
    <row r="30" spans="1:2" x14ac:dyDescent="0.3">
      <c r="A30" t="s">
        <v>634</v>
      </c>
      <c r="B30" t="s">
        <v>172</v>
      </c>
    </row>
    <row r="31" spans="1:2" x14ac:dyDescent="0.3">
      <c r="A31" t="s">
        <v>711</v>
      </c>
      <c r="B31" t="s">
        <v>176</v>
      </c>
    </row>
    <row r="32" spans="1:2" x14ac:dyDescent="0.3">
      <c r="A32" t="s">
        <v>630</v>
      </c>
      <c r="B32" t="s">
        <v>180</v>
      </c>
    </row>
    <row r="33" spans="1:2" x14ac:dyDescent="0.3">
      <c r="A33" t="s">
        <v>645</v>
      </c>
      <c r="B33" t="s">
        <v>184</v>
      </c>
    </row>
    <row r="34" spans="1:2" x14ac:dyDescent="0.3">
      <c r="A34" t="s">
        <v>712</v>
      </c>
      <c r="B34" t="s">
        <v>188</v>
      </c>
    </row>
    <row r="35" spans="1:2" x14ac:dyDescent="0.3">
      <c r="A35" t="s">
        <v>665</v>
      </c>
      <c r="B35" t="s">
        <v>192</v>
      </c>
    </row>
    <row r="36" spans="1:2" x14ac:dyDescent="0.3">
      <c r="A36" t="s">
        <v>646</v>
      </c>
      <c r="B36" t="s">
        <v>196</v>
      </c>
    </row>
    <row r="37" spans="1:2" x14ac:dyDescent="0.3">
      <c r="A37" t="s">
        <v>713</v>
      </c>
      <c r="B37" t="s">
        <v>200</v>
      </c>
    </row>
    <row r="38" spans="1:2" x14ac:dyDescent="0.3">
      <c r="A38" t="s">
        <v>666</v>
      </c>
      <c r="B38" t="s">
        <v>204</v>
      </c>
    </row>
    <row r="39" spans="1:2" x14ac:dyDescent="0.3">
      <c r="A39" t="s">
        <v>714</v>
      </c>
      <c r="B39" t="s">
        <v>208</v>
      </c>
    </row>
    <row r="40" spans="1:2" x14ac:dyDescent="0.3">
      <c r="A40" t="s">
        <v>667</v>
      </c>
      <c r="B40" t="s">
        <v>212</v>
      </c>
    </row>
    <row r="41" spans="1:2" x14ac:dyDescent="0.3">
      <c r="A41" t="s">
        <v>715</v>
      </c>
      <c r="B41" t="s">
        <v>216</v>
      </c>
    </row>
    <row r="42" spans="1:2" x14ac:dyDescent="0.3">
      <c r="A42" t="s">
        <v>716</v>
      </c>
      <c r="B42" t="s">
        <v>220</v>
      </c>
    </row>
    <row r="43" spans="1:2" x14ac:dyDescent="0.3">
      <c r="A43" t="s">
        <v>647</v>
      </c>
      <c r="B43" t="s">
        <v>224</v>
      </c>
    </row>
    <row r="44" spans="1:2" x14ac:dyDescent="0.3">
      <c r="A44" t="s">
        <v>717</v>
      </c>
      <c r="B44" t="s">
        <v>228</v>
      </c>
    </row>
    <row r="45" spans="1:2" x14ac:dyDescent="0.3">
      <c r="A45" t="s">
        <v>656</v>
      </c>
      <c r="B45" t="s">
        <v>232</v>
      </c>
    </row>
    <row r="46" spans="1:2" x14ac:dyDescent="0.3">
      <c r="A46" t="s">
        <v>718</v>
      </c>
      <c r="B46" t="s">
        <v>237</v>
      </c>
    </row>
    <row r="47" spans="1:2" x14ac:dyDescent="0.3">
      <c r="A47" t="s">
        <v>719</v>
      </c>
      <c r="B47" t="s">
        <v>241</v>
      </c>
    </row>
    <row r="48" spans="1:2" x14ac:dyDescent="0.3">
      <c r="A48" t="s">
        <v>668</v>
      </c>
      <c r="B48" t="s">
        <v>245</v>
      </c>
    </row>
    <row r="49" spans="1:2" x14ac:dyDescent="0.3">
      <c r="A49" t="s">
        <v>720</v>
      </c>
      <c r="B49" t="s">
        <v>249</v>
      </c>
    </row>
    <row r="50" spans="1:2" x14ac:dyDescent="0.3">
      <c r="A50" t="s">
        <v>695</v>
      </c>
      <c r="B50" t="s">
        <v>253</v>
      </c>
    </row>
    <row r="51" spans="1:2" x14ac:dyDescent="0.3">
      <c r="A51" t="s">
        <v>669</v>
      </c>
      <c r="B51" t="s">
        <v>257</v>
      </c>
    </row>
    <row r="52" spans="1:2" x14ac:dyDescent="0.3">
      <c r="A52" t="s">
        <v>670</v>
      </c>
      <c r="B52" t="s">
        <v>261</v>
      </c>
    </row>
    <row r="53" spans="1:2" x14ac:dyDescent="0.3">
      <c r="A53" t="s">
        <v>721</v>
      </c>
      <c r="B53" t="s">
        <v>265</v>
      </c>
    </row>
    <row r="54" spans="1:2" x14ac:dyDescent="0.3">
      <c r="A54" t="s">
        <v>722</v>
      </c>
      <c r="B54" t="s">
        <v>269</v>
      </c>
    </row>
    <row r="55" spans="1:2" x14ac:dyDescent="0.3">
      <c r="A55" t="s">
        <v>723</v>
      </c>
      <c r="B55" t="s">
        <v>273</v>
      </c>
    </row>
    <row r="56" spans="1:2" x14ac:dyDescent="0.3">
      <c r="A56" t="s">
        <v>724</v>
      </c>
      <c r="B56" t="s">
        <v>277</v>
      </c>
    </row>
    <row r="57" spans="1:2" x14ac:dyDescent="0.3">
      <c r="A57" t="s">
        <v>725</v>
      </c>
      <c r="B57" t="s">
        <v>281</v>
      </c>
    </row>
    <row r="58" spans="1:2" x14ac:dyDescent="0.3">
      <c r="A58" t="s">
        <v>671</v>
      </c>
      <c r="B58" t="s">
        <v>285</v>
      </c>
    </row>
    <row r="59" spans="1:2" x14ac:dyDescent="0.3">
      <c r="A59" t="s">
        <v>726</v>
      </c>
      <c r="B59" t="s">
        <v>289</v>
      </c>
    </row>
    <row r="60" spans="1:2" x14ac:dyDescent="0.3">
      <c r="A60" t="s">
        <v>672</v>
      </c>
      <c r="B60" t="s">
        <v>293</v>
      </c>
    </row>
    <row r="61" spans="1:2" x14ac:dyDescent="0.3">
      <c r="A61" t="s">
        <v>648</v>
      </c>
      <c r="B61" t="s">
        <v>297</v>
      </c>
    </row>
    <row r="62" spans="1:2" x14ac:dyDescent="0.3">
      <c r="A62" t="s">
        <v>727</v>
      </c>
      <c r="B62" t="s">
        <v>301</v>
      </c>
    </row>
    <row r="63" spans="1:2" x14ac:dyDescent="0.3">
      <c r="A63" t="s">
        <v>728</v>
      </c>
      <c r="B63" t="s">
        <v>305</v>
      </c>
    </row>
    <row r="64" spans="1:2" x14ac:dyDescent="0.3">
      <c r="A64" t="s">
        <v>729</v>
      </c>
      <c r="B64" t="s">
        <v>309</v>
      </c>
    </row>
    <row r="65" spans="1:2" x14ac:dyDescent="0.3">
      <c r="A65" t="s">
        <v>649</v>
      </c>
      <c r="B65" t="s">
        <v>313</v>
      </c>
    </row>
    <row r="66" spans="1:2" x14ac:dyDescent="0.3">
      <c r="A66" t="s">
        <v>673</v>
      </c>
      <c r="B66" t="s">
        <v>317</v>
      </c>
    </row>
    <row r="67" spans="1:2" x14ac:dyDescent="0.3">
      <c r="A67" t="s">
        <v>730</v>
      </c>
      <c r="B67" t="s">
        <v>321</v>
      </c>
    </row>
    <row r="68" spans="1:2" x14ac:dyDescent="0.3">
      <c r="A68" t="s">
        <v>731</v>
      </c>
      <c r="B68" t="s">
        <v>325</v>
      </c>
    </row>
    <row r="69" spans="1:2" x14ac:dyDescent="0.3">
      <c r="A69" t="s">
        <v>732</v>
      </c>
      <c r="B69" t="s">
        <v>329</v>
      </c>
    </row>
    <row r="70" spans="1:2" x14ac:dyDescent="0.3">
      <c r="A70" t="s">
        <v>733</v>
      </c>
      <c r="B70" t="s">
        <v>337</v>
      </c>
    </row>
    <row r="71" spans="1:2" x14ac:dyDescent="0.3">
      <c r="A71" t="s">
        <v>734</v>
      </c>
      <c r="B71" t="s">
        <v>342</v>
      </c>
    </row>
    <row r="72" spans="1:2" x14ac:dyDescent="0.3">
      <c r="A72" t="s">
        <v>674</v>
      </c>
      <c r="B72" t="s">
        <v>347</v>
      </c>
    </row>
    <row r="73" spans="1:2" x14ac:dyDescent="0.3">
      <c r="A73" t="s">
        <v>735</v>
      </c>
      <c r="B73" t="s">
        <v>351</v>
      </c>
    </row>
    <row r="74" spans="1:2" x14ac:dyDescent="0.3">
      <c r="A74" t="s">
        <v>675</v>
      </c>
      <c r="B74" t="s">
        <v>356</v>
      </c>
    </row>
    <row r="75" spans="1:2" x14ac:dyDescent="0.3">
      <c r="A75" t="s">
        <v>736</v>
      </c>
      <c r="B75" t="s">
        <v>360</v>
      </c>
    </row>
    <row r="76" spans="1:2" x14ac:dyDescent="0.3">
      <c r="A76" t="s">
        <v>737</v>
      </c>
      <c r="B76" t="s">
        <v>364</v>
      </c>
    </row>
    <row r="77" spans="1:2" x14ac:dyDescent="0.3">
      <c r="A77" t="s">
        <v>738</v>
      </c>
      <c r="B77" t="s">
        <v>369</v>
      </c>
    </row>
    <row r="78" spans="1:2" x14ac:dyDescent="0.3">
      <c r="A78" t="s">
        <v>739</v>
      </c>
      <c r="B78" t="s">
        <v>373</v>
      </c>
    </row>
    <row r="79" spans="1:2" x14ac:dyDescent="0.3">
      <c r="A79" t="s">
        <v>740</v>
      </c>
      <c r="B79" t="s">
        <v>378</v>
      </c>
    </row>
    <row r="80" spans="1:2" x14ac:dyDescent="0.3">
      <c r="A80" t="s">
        <v>741</v>
      </c>
      <c r="B80" t="s">
        <v>382</v>
      </c>
    </row>
    <row r="81" spans="1:2" x14ac:dyDescent="0.3">
      <c r="A81" t="s">
        <v>742</v>
      </c>
      <c r="B81" t="s">
        <v>387</v>
      </c>
    </row>
    <row r="82" spans="1:2" x14ac:dyDescent="0.3">
      <c r="A82" t="s">
        <v>676</v>
      </c>
      <c r="B82" t="s">
        <v>392</v>
      </c>
    </row>
    <row r="83" spans="1:2" x14ac:dyDescent="0.3">
      <c r="A83" t="s">
        <v>743</v>
      </c>
      <c r="B83" t="s">
        <v>396</v>
      </c>
    </row>
    <row r="84" spans="1:2" x14ac:dyDescent="0.3">
      <c r="A84" t="s">
        <v>744</v>
      </c>
      <c r="B84" t="s">
        <v>400</v>
      </c>
    </row>
    <row r="85" spans="1:2" x14ac:dyDescent="0.3">
      <c r="A85" t="s">
        <v>745</v>
      </c>
      <c r="B85" t="s">
        <v>404</v>
      </c>
    </row>
    <row r="86" spans="1:2" x14ac:dyDescent="0.3">
      <c r="A86" t="s">
        <v>746</v>
      </c>
      <c r="B86" t="s">
        <v>408</v>
      </c>
    </row>
    <row r="87" spans="1:2" x14ac:dyDescent="0.3">
      <c r="A87" t="s">
        <v>677</v>
      </c>
      <c r="B87" t="s">
        <v>412</v>
      </c>
    </row>
    <row r="88" spans="1:2" x14ac:dyDescent="0.3">
      <c r="A88" t="s">
        <v>678</v>
      </c>
      <c r="B88" t="s">
        <v>416</v>
      </c>
    </row>
    <row r="89" spans="1:2" x14ac:dyDescent="0.3">
      <c r="A89" t="s">
        <v>747</v>
      </c>
      <c r="B89" t="s">
        <v>420</v>
      </c>
    </row>
    <row r="90" spans="1:2" x14ac:dyDescent="0.3">
      <c r="A90" t="s">
        <v>748</v>
      </c>
      <c r="B90" t="s">
        <v>424</v>
      </c>
    </row>
    <row r="91" spans="1:2" x14ac:dyDescent="0.3">
      <c r="A91" t="s">
        <v>749</v>
      </c>
      <c r="B91" t="s">
        <v>428</v>
      </c>
    </row>
    <row r="92" spans="1:2" x14ac:dyDescent="0.3">
      <c r="A92" t="s">
        <v>750</v>
      </c>
      <c r="B92" t="s">
        <v>432</v>
      </c>
    </row>
    <row r="93" spans="1:2" x14ac:dyDescent="0.3">
      <c r="A93" t="s">
        <v>751</v>
      </c>
      <c r="B93" t="s">
        <v>436</v>
      </c>
    </row>
    <row r="94" spans="1:2" x14ac:dyDescent="0.3">
      <c r="A94" t="s">
        <v>752</v>
      </c>
      <c r="B94" t="s">
        <v>440</v>
      </c>
    </row>
    <row r="95" spans="1:2" x14ac:dyDescent="0.3">
      <c r="A95" t="s">
        <v>753</v>
      </c>
      <c r="B95" t="s">
        <v>444</v>
      </c>
    </row>
    <row r="96" spans="1:2" x14ac:dyDescent="0.3">
      <c r="A96" t="s">
        <v>636</v>
      </c>
      <c r="B96" t="s">
        <v>448</v>
      </c>
    </row>
    <row r="97" spans="1:2" x14ac:dyDescent="0.3">
      <c r="A97" t="s">
        <v>650</v>
      </c>
      <c r="B97" t="s">
        <v>452</v>
      </c>
    </row>
    <row r="98" spans="1:2" x14ac:dyDescent="0.3">
      <c r="A98" t="s">
        <v>679</v>
      </c>
      <c r="B98" t="s">
        <v>456</v>
      </c>
    </row>
    <row r="99" spans="1:2" x14ac:dyDescent="0.3">
      <c r="A99" t="s">
        <v>754</v>
      </c>
      <c r="B99" t="s">
        <v>460</v>
      </c>
    </row>
    <row r="100" spans="1:2" x14ac:dyDescent="0.3">
      <c r="A100" t="s">
        <v>680</v>
      </c>
      <c r="B100" t="s">
        <v>464</v>
      </c>
    </row>
    <row r="101" spans="1:2" x14ac:dyDescent="0.3">
      <c r="A101" t="s">
        <v>755</v>
      </c>
      <c r="B101" t="s">
        <v>472</v>
      </c>
    </row>
    <row r="102" spans="1:2" x14ac:dyDescent="0.3">
      <c r="A102" t="s">
        <v>756</v>
      </c>
      <c r="B102" t="s">
        <v>478</v>
      </c>
    </row>
    <row r="103" spans="1:2" x14ac:dyDescent="0.3">
      <c r="A103" t="s">
        <v>757</v>
      </c>
      <c r="B103" t="s">
        <v>482</v>
      </c>
    </row>
    <row r="104" spans="1:2" x14ac:dyDescent="0.3">
      <c r="A104" t="s">
        <v>758</v>
      </c>
      <c r="B104" t="s">
        <v>486</v>
      </c>
    </row>
    <row r="105" spans="1:2" x14ac:dyDescent="0.3">
      <c r="A105" t="s">
        <v>759</v>
      </c>
      <c r="B105" t="s">
        <v>934</v>
      </c>
    </row>
    <row r="106" spans="1:2" x14ac:dyDescent="0.3">
      <c r="A106" t="s">
        <v>681</v>
      </c>
      <c r="B106" t="s">
        <v>940</v>
      </c>
    </row>
    <row r="107" spans="1:2" x14ac:dyDescent="0.3">
      <c r="A107" t="s">
        <v>760</v>
      </c>
      <c r="B107" t="s">
        <v>943</v>
      </c>
    </row>
    <row r="108" spans="1:2" x14ac:dyDescent="0.3">
      <c r="A108" t="s">
        <v>651</v>
      </c>
      <c r="B108" t="s">
        <v>946</v>
      </c>
    </row>
    <row r="109" spans="1:2" x14ac:dyDescent="0.3">
      <c r="A109" t="s">
        <v>761</v>
      </c>
      <c r="B109" t="s">
        <v>949</v>
      </c>
    </row>
    <row r="110" spans="1:2" x14ac:dyDescent="0.3">
      <c r="A110" t="s">
        <v>762</v>
      </c>
      <c r="B110" t="s">
        <v>952</v>
      </c>
    </row>
    <row r="111" spans="1:2" x14ac:dyDescent="0.3">
      <c r="A111" t="s">
        <v>763</v>
      </c>
      <c r="B111" t="s">
        <v>955</v>
      </c>
    </row>
    <row r="112" spans="1:2" x14ac:dyDescent="0.3">
      <c r="A112" t="s">
        <v>682</v>
      </c>
      <c r="B112" t="s">
        <v>958</v>
      </c>
    </row>
    <row r="113" spans="1:2" x14ac:dyDescent="0.3">
      <c r="A113" t="s">
        <v>764</v>
      </c>
      <c r="B113" t="s">
        <v>961</v>
      </c>
    </row>
    <row r="114" spans="1:2" x14ac:dyDescent="0.3">
      <c r="A114" t="s">
        <v>765</v>
      </c>
      <c r="B114" t="s">
        <v>964</v>
      </c>
    </row>
    <row r="115" spans="1:2" x14ac:dyDescent="0.3">
      <c r="A115" t="s">
        <v>766</v>
      </c>
      <c r="B115" t="s">
        <v>967</v>
      </c>
    </row>
    <row r="116" spans="1:2" x14ac:dyDescent="0.3">
      <c r="A116" t="s">
        <v>652</v>
      </c>
      <c r="B116" t="s">
        <v>970</v>
      </c>
    </row>
    <row r="117" spans="1:2" x14ac:dyDescent="0.3">
      <c r="A117" t="s">
        <v>767</v>
      </c>
      <c r="B117" t="s">
        <v>973</v>
      </c>
    </row>
    <row r="118" spans="1:2" x14ac:dyDescent="0.3">
      <c r="A118" t="s">
        <v>653</v>
      </c>
      <c r="B118" t="s">
        <v>976</v>
      </c>
    </row>
    <row r="119" spans="1:2" x14ac:dyDescent="0.3">
      <c r="A119" t="s">
        <v>654</v>
      </c>
      <c r="B119" t="s">
        <v>980</v>
      </c>
    </row>
    <row r="120" spans="1:2" x14ac:dyDescent="0.3">
      <c r="A120" t="s">
        <v>768</v>
      </c>
      <c r="B120" t="s">
        <v>982</v>
      </c>
    </row>
    <row r="121" spans="1:2" x14ac:dyDescent="0.3">
      <c r="A121" t="s">
        <v>683</v>
      </c>
      <c r="B121" t="s">
        <v>984</v>
      </c>
    </row>
    <row r="122" spans="1:2" x14ac:dyDescent="0.3">
      <c r="A122" t="s">
        <v>684</v>
      </c>
      <c r="B122" t="s">
        <v>986</v>
      </c>
    </row>
    <row r="123" spans="1:2" x14ac:dyDescent="0.3">
      <c r="A123" t="s">
        <v>769</v>
      </c>
      <c r="B123" t="s">
        <v>988</v>
      </c>
    </row>
    <row r="124" spans="1:2" x14ac:dyDescent="0.3">
      <c r="A124" t="s">
        <v>655</v>
      </c>
      <c r="B124" t="s">
        <v>990</v>
      </c>
    </row>
    <row r="125" spans="1:2" x14ac:dyDescent="0.3">
      <c r="A125" t="s">
        <v>770</v>
      </c>
      <c r="B125" t="s">
        <v>992</v>
      </c>
    </row>
    <row r="126" spans="1:2" x14ac:dyDescent="0.3">
      <c r="A126" t="s">
        <v>685</v>
      </c>
      <c r="B126" t="s">
        <v>994</v>
      </c>
    </row>
    <row r="127" spans="1:2" x14ac:dyDescent="0.3">
      <c r="A127" t="s">
        <v>638</v>
      </c>
      <c r="B127" t="s">
        <v>996</v>
      </c>
    </row>
    <row r="128" spans="1:2" x14ac:dyDescent="0.3">
      <c r="A128" t="s">
        <v>771</v>
      </c>
      <c r="B128" t="s">
        <v>998</v>
      </c>
    </row>
    <row r="129" spans="1:2" x14ac:dyDescent="0.3">
      <c r="A129" t="s">
        <v>772</v>
      </c>
      <c r="B129" t="s">
        <v>1000</v>
      </c>
    </row>
    <row r="130" spans="1:2" x14ac:dyDescent="0.3">
      <c r="A130" t="s">
        <v>773</v>
      </c>
      <c r="B130" t="s">
        <v>1002</v>
      </c>
    </row>
    <row r="131" spans="1:2" x14ac:dyDescent="0.3">
      <c r="A131" t="s">
        <v>774</v>
      </c>
      <c r="B131" t="s">
        <v>1005</v>
      </c>
    </row>
    <row r="132" spans="1:2" x14ac:dyDescent="0.3">
      <c r="A132" t="s">
        <v>686</v>
      </c>
      <c r="B132" t="s">
        <v>1010</v>
      </c>
    </row>
    <row r="133" spans="1:2" x14ac:dyDescent="0.3">
      <c r="A133" t="s">
        <v>775</v>
      </c>
      <c r="B133" t="s">
        <v>1013</v>
      </c>
    </row>
    <row r="134" spans="1:2" x14ac:dyDescent="0.3">
      <c r="A134" t="s">
        <v>776</v>
      </c>
      <c r="B134" t="s">
        <v>1016</v>
      </c>
    </row>
    <row r="135" spans="1:2" x14ac:dyDescent="0.3">
      <c r="A135" t="s">
        <v>687</v>
      </c>
      <c r="B135" t="s">
        <v>1019</v>
      </c>
    </row>
    <row r="136" spans="1:2" x14ac:dyDescent="0.3">
      <c r="A136" t="s">
        <v>688</v>
      </c>
      <c r="B136" t="s">
        <v>1022</v>
      </c>
    </row>
    <row r="137" spans="1:2" x14ac:dyDescent="0.3">
      <c r="A137" t="s">
        <v>777</v>
      </c>
      <c r="B137" t="s">
        <v>1025</v>
      </c>
    </row>
    <row r="138" spans="1:2" x14ac:dyDescent="0.3">
      <c r="A138" t="s">
        <v>778</v>
      </c>
      <c r="B138" t="s">
        <v>1028</v>
      </c>
    </row>
    <row r="139" spans="1:2" x14ac:dyDescent="0.3">
      <c r="A139" t="s">
        <v>640</v>
      </c>
      <c r="B139" t="s">
        <v>1031</v>
      </c>
    </row>
    <row r="140" spans="1:2" x14ac:dyDescent="0.3">
      <c r="A140" t="s">
        <v>779</v>
      </c>
      <c r="B140" t="s">
        <v>1034</v>
      </c>
    </row>
    <row r="141" spans="1:2" x14ac:dyDescent="0.3">
      <c r="A141" t="s">
        <v>780</v>
      </c>
      <c r="B141" t="s">
        <v>1037</v>
      </c>
    </row>
    <row r="142" spans="1:2" x14ac:dyDescent="0.3">
      <c r="A142" t="s">
        <v>689</v>
      </c>
      <c r="B142" t="s">
        <v>1040</v>
      </c>
    </row>
    <row r="143" spans="1:2" x14ac:dyDescent="0.3">
      <c r="A143" t="s">
        <v>781</v>
      </c>
      <c r="B143" t="s">
        <v>1043</v>
      </c>
    </row>
    <row r="144" spans="1:2" x14ac:dyDescent="0.3">
      <c r="A144" t="s">
        <v>782</v>
      </c>
      <c r="B144" t="s">
        <v>1046</v>
      </c>
    </row>
    <row r="145" spans="1:2" x14ac:dyDescent="0.3">
      <c r="A145" t="s">
        <v>783</v>
      </c>
      <c r="B145" t="s">
        <v>1052</v>
      </c>
    </row>
    <row r="146" spans="1:2" x14ac:dyDescent="0.3">
      <c r="A146" t="s">
        <v>784</v>
      </c>
      <c r="B146" t="s">
        <v>1055</v>
      </c>
    </row>
    <row r="147" spans="1:2" x14ac:dyDescent="0.3">
      <c r="A147" t="s">
        <v>690</v>
      </c>
      <c r="B147" t="s">
        <v>1058</v>
      </c>
    </row>
    <row r="148" spans="1:2" x14ac:dyDescent="0.3">
      <c r="A148" t="s">
        <v>691</v>
      </c>
      <c r="B148" t="s">
        <v>1061</v>
      </c>
    </row>
    <row r="149" spans="1:2" x14ac:dyDescent="0.3">
      <c r="A149" t="s">
        <v>785</v>
      </c>
      <c r="B149" t="s">
        <v>1064</v>
      </c>
    </row>
    <row r="150" spans="1:2" x14ac:dyDescent="0.3">
      <c r="A150" t="s">
        <v>786</v>
      </c>
      <c r="B150" t="s">
        <v>1067</v>
      </c>
    </row>
    <row r="151" spans="1:2" x14ac:dyDescent="0.3">
      <c r="A151" t="s">
        <v>787</v>
      </c>
      <c r="B151" t="s">
        <v>1070</v>
      </c>
    </row>
    <row r="152" spans="1:2" x14ac:dyDescent="0.3">
      <c r="A152" t="s">
        <v>788</v>
      </c>
      <c r="B152" t="s">
        <v>1073</v>
      </c>
    </row>
    <row r="153" spans="1:2" x14ac:dyDescent="0.3">
      <c r="A153" t="s">
        <v>789</v>
      </c>
      <c r="B153" t="s">
        <v>1077</v>
      </c>
    </row>
    <row r="154" spans="1:2" x14ac:dyDescent="0.3">
      <c r="A154" t="s">
        <v>790</v>
      </c>
      <c r="B154" t="s">
        <v>1080</v>
      </c>
    </row>
    <row r="155" spans="1:2" x14ac:dyDescent="0.3">
      <c r="A155" t="s">
        <v>791</v>
      </c>
      <c r="B155" t="s">
        <v>1084</v>
      </c>
    </row>
    <row r="156" spans="1:2" x14ac:dyDescent="0.3">
      <c r="A156" t="s">
        <v>692</v>
      </c>
      <c r="B156" t="s">
        <v>1087</v>
      </c>
    </row>
    <row r="157" spans="1:2" x14ac:dyDescent="0.3">
      <c r="A157" t="s">
        <v>792</v>
      </c>
      <c r="B157" t="s">
        <v>1091</v>
      </c>
    </row>
    <row r="158" spans="1:2" x14ac:dyDescent="0.3">
      <c r="A158" t="s">
        <v>794</v>
      </c>
      <c r="B158" t="s">
        <v>1094</v>
      </c>
    </row>
    <row r="159" spans="1:2" x14ac:dyDescent="0.3">
      <c r="A159" t="s">
        <v>694</v>
      </c>
      <c r="B159" t="s">
        <v>1097</v>
      </c>
    </row>
    <row r="160" spans="1:2" x14ac:dyDescent="0.3">
      <c r="A160" t="s">
        <v>793</v>
      </c>
      <c r="B160" t="s">
        <v>1100</v>
      </c>
    </row>
    <row r="161" spans="1:2" x14ac:dyDescent="0.3">
      <c r="A161" t="s">
        <v>642</v>
      </c>
      <c r="B161" t="s">
        <v>1103</v>
      </c>
    </row>
    <row r="162" spans="1:2" x14ac:dyDescent="0.3">
      <c r="A162" t="s">
        <v>693</v>
      </c>
      <c r="B162" t="s">
        <v>1106</v>
      </c>
    </row>
    <row r="163" spans="1:2" x14ac:dyDescent="0.3">
      <c r="A163" t="s">
        <v>657</v>
      </c>
      <c r="B163" t="s">
        <v>1109</v>
      </c>
    </row>
    <row r="164" spans="1:2" x14ac:dyDescent="0.3">
      <c r="A164" t="s">
        <v>802</v>
      </c>
      <c r="B164" t="s">
        <v>1112</v>
      </c>
    </row>
    <row r="165" spans="1:2" x14ac:dyDescent="0.3">
      <c r="A165" t="s">
        <v>803</v>
      </c>
      <c r="B165" t="s">
        <v>1116</v>
      </c>
    </row>
    <row r="166" spans="1:2" x14ac:dyDescent="0.3">
      <c r="A166" t="s">
        <v>804</v>
      </c>
      <c r="B166" t="s">
        <v>1119</v>
      </c>
    </row>
    <row r="167" spans="1:2" x14ac:dyDescent="0.3">
      <c r="A167" t="s">
        <v>795</v>
      </c>
      <c r="B167" t="s">
        <v>1123</v>
      </c>
    </row>
    <row r="168" spans="1:2" x14ac:dyDescent="0.3">
      <c r="A168" t="s">
        <v>658</v>
      </c>
      <c r="B168" t="s">
        <v>1125</v>
      </c>
    </row>
    <row r="169" spans="1:2" x14ac:dyDescent="0.3">
      <c r="A169" t="s">
        <v>796</v>
      </c>
      <c r="B169" t="s">
        <v>1129</v>
      </c>
    </row>
    <row r="170" spans="1:2" x14ac:dyDescent="0.3">
      <c r="A170" t="s">
        <v>797</v>
      </c>
      <c r="B170" t="s">
        <v>1132</v>
      </c>
    </row>
    <row r="171" spans="1:2" x14ac:dyDescent="0.3">
      <c r="A171" t="s">
        <v>801</v>
      </c>
      <c r="B171" t="s">
        <v>1135</v>
      </c>
    </row>
    <row r="172" spans="1:2" x14ac:dyDescent="0.3">
      <c r="A172" t="s">
        <v>798</v>
      </c>
      <c r="B172" t="s">
        <v>1138</v>
      </c>
    </row>
    <row r="173" spans="1:2" x14ac:dyDescent="0.3">
      <c r="A173" t="s">
        <v>799</v>
      </c>
      <c r="B173" t="s">
        <v>1140</v>
      </c>
    </row>
    <row r="174" spans="1:2" x14ac:dyDescent="0.3">
      <c r="A174" t="s">
        <v>800</v>
      </c>
      <c r="B174" t="s">
        <v>1143</v>
      </c>
    </row>
    <row r="175" spans="1:2" x14ac:dyDescent="0.3">
      <c r="B175" t="s">
        <v>1146</v>
      </c>
    </row>
    <row r="176" spans="1:2" x14ac:dyDescent="0.3">
      <c r="B176" t="s">
        <v>1149</v>
      </c>
    </row>
    <row r="177" spans="2:2" x14ac:dyDescent="0.3">
      <c r="B177" t="s">
        <v>1152</v>
      </c>
    </row>
    <row r="178" spans="2:2" x14ac:dyDescent="0.3">
      <c r="B178" t="s">
        <v>1155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104"/>
  <sheetViews>
    <sheetView workbookViewId="0">
      <selection activeCell="B2" sqref="B2"/>
    </sheetView>
  </sheetViews>
  <sheetFormatPr defaultColWidth="11.5546875" defaultRowHeight="14.4" x14ac:dyDescent="0.3"/>
  <sheetData>
    <row r="2" spans="1:3" x14ac:dyDescent="0.3">
      <c r="A2" s="4" t="s">
        <v>597</v>
      </c>
      <c r="B2" t="str">
        <f>CONCATENATE("c(",A2,",",A3,",",A4,",",A5,",",A6,",",A7,",",A8,",",A9,",",A10,",",A11,",",A12,",",A13,",",A14,",",A15,",",A16,",",A17,",",A18,",",A19,",",A20,",",A21,",",A22,",",A23,",",A24,",",A25,",",A26,",",A27,",",A28,",",A29,",",A30,",",A31,",",A32,",",A33,",",A34,",",A35,",",A36,",",A37,",",A38,",",A39,",",A40,",",A41,",",A42,",",A43,",",A44,",",A45,",",A46,",",A47,",",A48,",",A49,",",A50,",",A51,",",A52,",",A53,",",A54,",",A55,",",A56,",",A57,",",A58,",",A59,",",A60,",",A61,",",A62,",",A63,",",A64,",",A65,",",A66,",",A67,",",A68,",",A69,",",A70,",",A71,",",A72,",",A73,",",A74,",",A75,",",A76,",",A77,",",A78,",",A79,",",A80,",",A81,",",A82,",",A83,",",A84,",",A85,",",A86,",",A87,",",A88,",",A89,",",A90,",",A91,",",A92,",",A93,",",A94,",",A95,",",A96,",",A97,",",A98,",",A99,",",A100,",",A101,",",A102,",",A103,",",A104,")")</f>
        <v>c(Temp prom anual',"Temp prom cuarto mas calido","Temp prom cuarto mas frio","Prec anual","Prec mes mas humedo","Prec mes mas seco","Estacionalidad prec","Prec cuarto  mas humedo","Prec cuarto mas seco","Prec cuarto mas calido","Prec cuarto mas frio","Rango prom temp diurnas","Isotermalidad","Estacionalidad temp","Max temp mes mas calido","Min temp mes mas frio","Rango temp anual","Temp prom cuarto humedo","Temp prom cuarto seco","Prec prom 1","Prec prom 2","Prec prom 3","Prec prom 4","Prec prom 5","Prec prom 6","Prec prom 7","Prec prom 8","Prec prom 9","Prec prom 10","Prec prom 11","Prec prom 12","Temp max 1","Temp max 2","Temp max 3","Temp max 4","Temp max 5","Temp max 6","Temp max 7","Temp max 8","Temp max 9","Temp max 10","Temp max 11","Temp max 12","Temp prom 1","Temp prom 2","Temp prom 3","Temp prom 4","Temp prom 5","Temp prom 6","Temp prom 7","Temp prom 8","Temp prom 9","Temp prom 10","Temp prom 11","Temp prom 12","Temp min 1","Temp min 2","Temp min 3","Temp min 4","Temp min 5","Temp min 6","Temp min 7","Temp min 8","Temp min 9","Temp min 10","Temp min 11","Temp min 12","Profundidad","Sat bases subsuelo","CaCO3 subsuelo","Yesos subsuelo","CIC arcilla subsuelo","CIC subsuelo gral","Arcilla en subsuelo","Salinidad subsuelo","Sodicidad subsuelo","Grava en subsuelo","Carbon org subsuelo","pH subsuelo","Densidad subsuelo","Arena en subsuelo","Limo en subsuelo","Bases int subsuelo","Sat bases suelo","CaCO3 suelo","Yesos suelo","CIC arcilla suelo","CIC suelo gral","Arcilla en suelo","Salinidad suelo","Sodicidad suelo","Grava en suelo","Carbon org suelo","pH suelo","Densidad suelo","Arena en suelo","Limo en suelo","Bases int suelo","Elevacion","Orientacion","Esticidad","Norticidad","Pendiente grados")</v>
      </c>
    </row>
    <row r="3" spans="1:3" x14ac:dyDescent="0.3">
      <c r="A3" t="s">
        <v>492</v>
      </c>
    </row>
    <row r="4" spans="1:3" x14ac:dyDescent="0.3">
      <c r="A4" t="s">
        <v>493</v>
      </c>
    </row>
    <row r="5" spans="1:3" x14ac:dyDescent="0.3">
      <c r="A5" t="s">
        <v>494</v>
      </c>
      <c r="C5" t="s">
        <v>594</v>
      </c>
    </row>
    <row r="6" spans="1:3" x14ac:dyDescent="0.3">
      <c r="A6" t="s">
        <v>495</v>
      </c>
    </row>
    <row r="7" spans="1:3" x14ac:dyDescent="0.3">
      <c r="A7" t="s">
        <v>496</v>
      </c>
    </row>
    <row r="8" spans="1:3" x14ac:dyDescent="0.3">
      <c r="A8" t="s">
        <v>497</v>
      </c>
    </row>
    <row r="9" spans="1:3" x14ac:dyDescent="0.3">
      <c r="A9" t="s">
        <v>498</v>
      </c>
    </row>
    <row r="10" spans="1:3" x14ac:dyDescent="0.3">
      <c r="A10" t="s">
        <v>499</v>
      </c>
    </row>
    <row r="11" spans="1:3" x14ac:dyDescent="0.3">
      <c r="A11" t="s">
        <v>500</v>
      </c>
    </row>
    <row r="12" spans="1:3" x14ac:dyDescent="0.3">
      <c r="A12" t="s">
        <v>501</v>
      </c>
    </row>
    <row r="13" spans="1:3" x14ac:dyDescent="0.3">
      <c r="A13" t="s">
        <v>502</v>
      </c>
    </row>
    <row r="14" spans="1:3" x14ac:dyDescent="0.3">
      <c r="A14" t="s">
        <v>503</v>
      </c>
    </row>
    <row r="15" spans="1:3" x14ac:dyDescent="0.3">
      <c r="A15" t="s">
        <v>504</v>
      </c>
    </row>
    <row r="16" spans="1:3" x14ac:dyDescent="0.3">
      <c r="A16" t="s">
        <v>505</v>
      </c>
    </row>
    <row r="17" spans="1:1" x14ac:dyDescent="0.3">
      <c r="A17" t="s">
        <v>506</v>
      </c>
    </row>
    <row r="18" spans="1:1" x14ac:dyDescent="0.3">
      <c r="A18" t="s">
        <v>507</v>
      </c>
    </row>
    <row r="19" spans="1:1" x14ac:dyDescent="0.3">
      <c r="A19" t="s">
        <v>508</v>
      </c>
    </row>
    <row r="20" spans="1:1" x14ac:dyDescent="0.3">
      <c r="A20" t="s">
        <v>509</v>
      </c>
    </row>
    <row r="21" spans="1:1" x14ac:dyDescent="0.3">
      <c r="A21" t="s">
        <v>510</v>
      </c>
    </row>
    <row r="22" spans="1:1" x14ac:dyDescent="0.3">
      <c r="A22" t="s">
        <v>511</v>
      </c>
    </row>
    <row r="23" spans="1:1" x14ac:dyDescent="0.3">
      <c r="A23" t="s">
        <v>512</v>
      </c>
    </row>
    <row r="24" spans="1:1" x14ac:dyDescent="0.3">
      <c r="A24" t="s">
        <v>513</v>
      </c>
    </row>
    <row r="25" spans="1:1" x14ac:dyDescent="0.3">
      <c r="A25" t="s">
        <v>514</v>
      </c>
    </row>
    <row r="26" spans="1:1" x14ac:dyDescent="0.3">
      <c r="A26" t="s">
        <v>515</v>
      </c>
    </row>
    <row r="27" spans="1:1" x14ac:dyDescent="0.3">
      <c r="A27" t="s">
        <v>516</v>
      </c>
    </row>
    <row r="28" spans="1:1" x14ac:dyDescent="0.3">
      <c r="A28" t="s">
        <v>517</v>
      </c>
    </row>
    <row r="29" spans="1:1" x14ac:dyDescent="0.3">
      <c r="A29" t="s">
        <v>518</v>
      </c>
    </row>
    <row r="30" spans="1:1" x14ac:dyDescent="0.3">
      <c r="A30" t="s">
        <v>519</v>
      </c>
    </row>
    <row r="31" spans="1:1" x14ac:dyDescent="0.3">
      <c r="A31" t="s">
        <v>520</v>
      </c>
    </row>
    <row r="32" spans="1:1" x14ac:dyDescent="0.3">
      <c r="A32" t="s">
        <v>521</v>
      </c>
    </row>
    <row r="33" spans="1:1" x14ac:dyDescent="0.3">
      <c r="A33" t="s">
        <v>522</v>
      </c>
    </row>
    <row r="34" spans="1:1" x14ac:dyDescent="0.3">
      <c r="A34" t="s">
        <v>523</v>
      </c>
    </row>
    <row r="35" spans="1:1" x14ac:dyDescent="0.3">
      <c r="A35" t="s">
        <v>524</v>
      </c>
    </row>
    <row r="36" spans="1:1" x14ac:dyDescent="0.3">
      <c r="A36" t="s">
        <v>525</v>
      </c>
    </row>
    <row r="37" spans="1:1" x14ac:dyDescent="0.3">
      <c r="A37" t="s">
        <v>526</v>
      </c>
    </row>
    <row r="38" spans="1:1" x14ac:dyDescent="0.3">
      <c r="A38" t="s">
        <v>527</v>
      </c>
    </row>
    <row r="39" spans="1:1" x14ac:dyDescent="0.3">
      <c r="A39" t="s">
        <v>528</v>
      </c>
    </row>
    <row r="40" spans="1:1" x14ac:dyDescent="0.3">
      <c r="A40" t="s">
        <v>529</v>
      </c>
    </row>
    <row r="41" spans="1:1" x14ac:dyDescent="0.3">
      <c r="A41" t="s">
        <v>530</v>
      </c>
    </row>
    <row r="42" spans="1:1" x14ac:dyDescent="0.3">
      <c r="A42" t="s">
        <v>531</v>
      </c>
    </row>
    <row r="43" spans="1:1" x14ac:dyDescent="0.3">
      <c r="A43" t="s">
        <v>532</v>
      </c>
    </row>
    <row r="44" spans="1:1" x14ac:dyDescent="0.3">
      <c r="A44" t="s">
        <v>533</v>
      </c>
    </row>
    <row r="45" spans="1:1" x14ac:dyDescent="0.3">
      <c r="A45" t="s">
        <v>534</v>
      </c>
    </row>
    <row r="46" spans="1:1" x14ac:dyDescent="0.3">
      <c r="A46" t="s">
        <v>535</v>
      </c>
    </row>
    <row r="47" spans="1:1" x14ac:dyDescent="0.3">
      <c r="A47" t="s">
        <v>536</v>
      </c>
    </row>
    <row r="48" spans="1:1" x14ac:dyDescent="0.3">
      <c r="A48" t="s">
        <v>537</v>
      </c>
    </row>
    <row r="49" spans="1:1" x14ac:dyDescent="0.3">
      <c r="A49" t="s">
        <v>538</v>
      </c>
    </row>
    <row r="50" spans="1:1" x14ac:dyDescent="0.3">
      <c r="A50" t="s">
        <v>539</v>
      </c>
    </row>
    <row r="51" spans="1:1" x14ac:dyDescent="0.3">
      <c r="A51" t="s">
        <v>540</v>
      </c>
    </row>
    <row r="52" spans="1:1" x14ac:dyDescent="0.3">
      <c r="A52" t="s">
        <v>541</v>
      </c>
    </row>
    <row r="53" spans="1:1" x14ac:dyDescent="0.3">
      <c r="A53" t="s">
        <v>542</v>
      </c>
    </row>
    <row r="54" spans="1:1" x14ac:dyDescent="0.3">
      <c r="A54" t="s">
        <v>543</v>
      </c>
    </row>
    <row r="55" spans="1:1" x14ac:dyDescent="0.3">
      <c r="A55" t="s">
        <v>544</v>
      </c>
    </row>
    <row r="56" spans="1:1" x14ac:dyDescent="0.3">
      <c r="A56" t="s">
        <v>545</v>
      </c>
    </row>
    <row r="57" spans="1:1" x14ac:dyDescent="0.3">
      <c r="A57" t="s">
        <v>546</v>
      </c>
    </row>
    <row r="58" spans="1:1" x14ac:dyDescent="0.3">
      <c r="A58" t="s">
        <v>547</v>
      </c>
    </row>
    <row r="59" spans="1:1" x14ac:dyDescent="0.3">
      <c r="A59" t="s">
        <v>548</v>
      </c>
    </row>
    <row r="60" spans="1:1" x14ac:dyDescent="0.3">
      <c r="A60" t="s">
        <v>549</v>
      </c>
    </row>
    <row r="61" spans="1:1" x14ac:dyDescent="0.3">
      <c r="A61" t="s">
        <v>550</v>
      </c>
    </row>
    <row r="62" spans="1:1" x14ac:dyDescent="0.3">
      <c r="A62" t="s">
        <v>551</v>
      </c>
    </row>
    <row r="63" spans="1:1" x14ac:dyDescent="0.3">
      <c r="A63" t="s">
        <v>552</v>
      </c>
    </row>
    <row r="64" spans="1:1" x14ac:dyDescent="0.3">
      <c r="A64" t="s">
        <v>553</v>
      </c>
    </row>
    <row r="65" spans="1:1" x14ac:dyDescent="0.3">
      <c r="A65" t="s">
        <v>554</v>
      </c>
    </row>
    <row r="66" spans="1:1" x14ac:dyDescent="0.3">
      <c r="A66" t="s">
        <v>555</v>
      </c>
    </row>
    <row r="67" spans="1:1" x14ac:dyDescent="0.3">
      <c r="A67" t="s">
        <v>556</v>
      </c>
    </row>
    <row r="68" spans="1:1" x14ac:dyDescent="0.3">
      <c r="A68" t="s">
        <v>557</v>
      </c>
    </row>
    <row r="69" spans="1:1" x14ac:dyDescent="0.3">
      <c r="A69" t="s">
        <v>558</v>
      </c>
    </row>
    <row r="70" spans="1:1" x14ac:dyDescent="0.3">
      <c r="A70" t="s">
        <v>559</v>
      </c>
    </row>
    <row r="71" spans="1:1" x14ac:dyDescent="0.3">
      <c r="A71" t="s">
        <v>560</v>
      </c>
    </row>
    <row r="72" spans="1:1" x14ac:dyDescent="0.3">
      <c r="A72" t="s">
        <v>561</v>
      </c>
    </row>
    <row r="73" spans="1:1" x14ac:dyDescent="0.3">
      <c r="A73" t="s">
        <v>562</v>
      </c>
    </row>
    <row r="74" spans="1:1" x14ac:dyDescent="0.3">
      <c r="A74" t="s">
        <v>563</v>
      </c>
    </row>
    <row r="75" spans="1:1" x14ac:dyDescent="0.3">
      <c r="A75" t="s">
        <v>564</v>
      </c>
    </row>
    <row r="76" spans="1:1" x14ac:dyDescent="0.3">
      <c r="A76" t="s">
        <v>565</v>
      </c>
    </row>
    <row r="77" spans="1:1" x14ac:dyDescent="0.3">
      <c r="A77" t="s">
        <v>566</v>
      </c>
    </row>
    <row r="78" spans="1:1" x14ac:dyDescent="0.3">
      <c r="A78" t="s">
        <v>567</v>
      </c>
    </row>
    <row r="79" spans="1:1" x14ac:dyDescent="0.3">
      <c r="A79" t="s">
        <v>568</v>
      </c>
    </row>
    <row r="80" spans="1:1" x14ac:dyDescent="0.3">
      <c r="A80" t="s">
        <v>569</v>
      </c>
    </row>
    <row r="81" spans="1:1" x14ac:dyDescent="0.3">
      <c r="A81" t="s">
        <v>570</v>
      </c>
    </row>
    <row r="82" spans="1:1" x14ac:dyDescent="0.3">
      <c r="A82" t="s">
        <v>571</v>
      </c>
    </row>
    <row r="83" spans="1:1" x14ac:dyDescent="0.3">
      <c r="A83" t="s">
        <v>572</v>
      </c>
    </row>
    <row r="84" spans="1:1" x14ac:dyDescent="0.3">
      <c r="A84" t="s">
        <v>573</v>
      </c>
    </row>
    <row r="85" spans="1:1" x14ac:dyDescent="0.3">
      <c r="A85" t="s">
        <v>574</v>
      </c>
    </row>
    <row r="86" spans="1:1" x14ac:dyDescent="0.3">
      <c r="A86" t="s">
        <v>575</v>
      </c>
    </row>
    <row r="87" spans="1:1" x14ac:dyDescent="0.3">
      <c r="A87" t="s">
        <v>576</v>
      </c>
    </row>
    <row r="88" spans="1:1" x14ac:dyDescent="0.3">
      <c r="A88" t="s">
        <v>577</v>
      </c>
    </row>
    <row r="89" spans="1:1" x14ac:dyDescent="0.3">
      <c r="A89" t="s">
        <v>578</v>
      </c>
    </row>
    <row r="90" spans="1:1" x14ac:dyDescent="0.3">
      <c r="A90" t="s">
        <v>579</v>
      </c>
    </row>
    <row r="91" spans="1:1" x14ac:dyDescent="0.3">
      <c r="A91" t="s">
        <v>580</v>
      </c>
    </row>
    <row r="92" spans="1:1" x14ac:dyDescent="0.3">
      <c r="A92" t="s">
        <v>581</v>
      </c>
    </row>
    <row r="93" spans="1:1" x14ac:dyDescent="0.3">
      <c r="A93" t="s">
        <v>582</v>
      </c>
    </row>
    <row r="94" spans="1:1" x14ac:dyDescent="0.3">
      <c r="A94" t="s">
        <v>583</v>
      </c>
    </row>
    <row r="95" spans="1:1" x14ac:dyDescent="0.3">
      <c r="A95" t="s">
        <v>584</v>
      </c>
    </row>
    <row r="96" spans="1:1" x14ac:dyDescent="0.3">
      <c r="A96" t="s">
        <v>585</v>
      </c>
    </row>
    <row r="97" spans="1:1" x14ac:dyDescent="0.3">
      <c r="A97" t="s">
        <v>586</v>
      </c>
    </row>
    <row r="98" spans="1:1" x14ac:dyDescent="0.3">
      <c r="A98" t="s">
        <v>587</v>
      </c>
    </row>
    <row r="99" spans="1:1" x14ac:dyDescent="0.3">
      <c r="A99" t="s">
        <v>588</v>
      </c>
    </row>
    <row r="100" spans="1:1" x14ac:dyDescent="0.3">
      <c r="A100" t="s">
        <v>589</v>
      </c>
    </row>
    <row r="101" spans="1:1" x14ac:dyDescent="0.3">
      <c r="A101" t="s">
        <v>590</v>
      </c>
    </row>
    <row r="102" spans="1:1" x14ac:dyDescent="0.3">
      <c r="A102" t="s">
        <v>591</v>
      </c>
    </row>
    <row r="103" spans="1:1" x14ac:dyDescent="0.3">
      <c r="A103" t="s">
        <v>592</v>
      </c>
    </row>
    <row r="104" spans="1:1" x14ac:dyDescent="0.3">
      <c r="A104" t="s">
        <v>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ParameterTable</vt:lpstr>
      <vt:lpstr>Variables_Codes</vt:lpstr>
      <vt:lpstr>Hoja1</vt:lpstr>
      <vt:lpstr>Hoja4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hmparraq</cp:lastModifiedBy>
  <dcterms:created xsi:type="dcterms:W3CDTF">2015-10-05T07:48:39Z</dcterms:created>
  <dcterms:modified xsi:type="dcterms:W3CDTF">2021-01-24T18:26:40Z</dcterms:modified>
</cp:coreProperties>
</file>